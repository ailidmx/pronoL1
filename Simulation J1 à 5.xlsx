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no-l1-test\"/>
    </mc:Choice>
  </mc:AlternateContent>
  <xr:revisionPtr revIDLastSave="0" documentId="13_ncr:1_{06605227-13C6-4F85-8B2B-D5E2E5CFB862}" xr6:coauthVersionLast="47" xr6:coauthVersionMax="47" xr10:uidLastSave="{00000000-0000-0000-0000-000000000000}"/>
  <bookViews>
    <workbookView xWindow="-108" yWindow="-108" windowWidth="23256" windowHeight="13896" xr2:uid="{F8E858CA-CAC1-4B08-A096-F7F0BEC6F851}"/>
  </bookViews>
  <sheets>
    <sheet name="Feuil1" sheetId="1" r:id="rId1"/>
    <sheet name="Feuil2" sheetId="2" r:id="rId2"/>
  </sheets>
  <definedNames>
    <definedName name="Clubs">Feuil2!$B$2:$B$19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G56" i="1" l="1"/>
  <c r="BG55" i="1"/>
  <c r="BG54" i="1"/>
  <c r="BG53" i="1"/>
  <c r="BG52" i="1"/>
  <c r="BG51" i="1"/>
  <c r="BG50" i="1"/>
  <c r="BG49" i="1"/>
  <c r="BG48" i="1"/>
  <c r="BG45" i="1"/>
  <c r="BG44" i="1"/>
  <c r="BG43" i="1"/>
  <c r="BG42" i="1"/>
  <c r="BG41" i="1"/>
  <c r="BG40" i="1"/>
  <c r="BG39" i="1"/>
  <c r="BG38" i="1"/>
  <c r="BG37" i="1"/>
  <c r="BG34" i="1"/>
  <c r="BG33" i="1"/>
  <c r="BG32" i="1"/>
  <c r="BG31" i="1"/>
  <c r="BG30" i="1"/>
  <c r="BG29" i="1"/>
  <c r="BG28" i="1"/>
  <c r="BG27" i="1"/>
  <c r="BG26" i="1"/>
  <c r="BJ23" i="1"/>
  <c r="BG22" i="1"/>
  <c r="BG21" i="1"/>
  <c r="BG20" i="1"/>
  <c r="BG19" i="1"/>
  <c r="BG18" i="1"/>
  <c r="BG17" i="1"/>
  <c r="BG16" i="1"/>
  <c r="BG15" i="1"/>
  <c r="BG11" i="1"/>
  <c r="BG10" i="1"/>
  <c r="BG9" i="1"/>
  <c r="BG8" i="1"/>
  <c r="BG7" i="1"/>
  <c r="BG6" i="1"/>
  <c r="BG5" i="1"/>
  <c r="BG4" i="1"/>
  <c r="AW56" i="1"/>
  <c r="AW55" i="1"/>
  <c r="AW54" i="1"/>
  <c r="AW53" i="1"/>
  <c r="AW52" i="1"/>
  <c r="AW51" i="1"/>
  <c r="AW50" i="1"/>
  <c r="AW49" i="1"/>
  <c r="AW48" i="1"/>
  <c r="AW45" i="1"/>
  <c r="AW44" i="1"/>
  <c r="AW43" i="1"/>
  <c r="AW42" i="1"/>
  <c r="AW41" i="1"/>
  <c r="AW40" i="1"/>
  <c r="AW39" i="1"/>
  <c r="AW38" i="1"/>
  <c r="AW37" i="1"/>
  <c r="AW34" i="1"/>
  <c r="AW33" i="1"/>
  <c r="AW32" i="1"/>
  <c r="AW31" i="1"/>
  <c r="AW30" i="1"/>
  <c r="AW29" i="1"/>
  <c r="AW28" i="1"/>
  <c r="AW27" i="1"/>
  <c r="AW26" i="1"/>
  <c r="AZ23" i="1"/>
  <c r="AW22" i="1"/>
  <c r="AW21" i="1"/>
  <c r="AW20" i="1"/>
  <c r="AW19" i="1"/>
  <c r="AW18" i="1"/>
  <c r="AW17" i="1"/>
  <c r="AW16" i="1"/>
  <c r="AW15" i="1"/>
  <c r="AW11" i="1"/>
  <c r="AW10" i="1"/>
  <c r="AW9" i="1"/>
  <c r="AW8" i="1"/>
  <c r="AW7" i="1"/>
  <c r="AW6" i="1"/>
  <c r="AW5" i="1"/>
  <c r="AW4" i="1"/>
  <c r="AM56" i="1"/>
  <c r="AM55" i="1"/>
  <c r="AM54" i="1"/>
  <c r="AM53" i="1"/>
  <c r="AM52" i="1"/>
  <c r="AM51" i="1"/>
  <c r="AM50" i="1"/>
  <c r="AM49" i="1"/>
  <c r="AM48" i="1"/>
  <c r="AM45" i="1"/>
  <c r="AM44" i="1"/>
  <c r="AM43" i="1"/>
  <c r="AM42" i="1"/>
  <c r="AM41" i="1"/>
  <c r="AM40" i="1"/>
  <c r="AM39" i="1"/>
  <c r="AM38" i="1"/>
  <c r="AM37" i="1"/>
  <c r="AM34" i="1"/>
  <c r="AM33" i="1"/>
  <c r="AM32" i="1"/>
  <c r="AM31" i="1"/>
  <c r="AM30" i="1"/>
  <c r="AM29" i="1"/>
  <c r="AM28" i="1"/>
  <c r="AM27" i="1"/>
  <c r="AM26" i="1"/>
  <c r="AP23" i="1"/>
  <c r="AM22" i="1"/>
  <c r="AM21" i="1"/>
  <c r="AM20" i="1"/>
  <c r="AM19" i="1"/>
  <c r="AM18" i="1"/>
  <c r="AM17" i="1"/>
  <c r="AM16" i="1"/>
  <c r="AM15" i="1"/>
  <c r="AM11" i="1"/>
  <c r="AM10" i="1"/>
  <c r="AM9" i="1"/>
  <c r="AM8" i="1"/>
  <c r="AM7" i="1"/>
  <c r="AM6" i="1"/>
  <c r="AM5" i="1"/>
  <c r="AM4" i="1"/>
  <c r="AC56" i="1"/>
  <c r="AC55" i="1"/>
  <c r="AC54" i="1"/>
  <c r="AC53" i="1"/>
  <c r="AC52" i="1"/>
  <c r="AC51" i="1"/>
  <c r="AC50" i="1"/>
  <c r="AC49" i="1"/>
  <c r="AC48" i="1"/>
  <c r="AC45" i="1"/>
  <c r="AC44" i="1"/>
  <c r="AC43" i="1"/>
  <c r="AC42" i="1"/>
  <c r="AC41" i="1"/>
  <c r="AC40" i="1"/>
  <c r="AC39" i="1"/>
  <c r="AC38" i="1"/>
  <c r="AC37" i="1"/>
  <c r="AC34" i="1"/>
  <c r="AC33" i="1"/>
  <c r="AC32" i="1"/>
  <c r="AC31" i="1"/>
  <c r="AC30" i="1"/>
  <c r="AC29" i="1"/>
  <c r="AC28" i="1"/>
  <c r="AC27" i="1"/>
  <c r="AC26" i="1"/>
  <c r="AF23" i="1"/>
  <c r="AC22" i="1"/>
  <c r="AC21" i="1"/>
  <c r="AC20" i="1"/>
  <c r="AC19" i="1"/>
  <c r="AC18" i="1"/>
  <c r="AC17" i="1"/>
  <c r="AC16" i="1"/>
  <c r="AC15" i="1"/>
  <c r="AC11" i="1"/>
  <c r="AC10" i="1"/>
  <c r="AC9" i="1"/>
  <c r="AC8" i="1"/>
  <c r="AC7" i="1"/>
  <c r="AC6" i="1"/>
  <c r="AC5" i="1"/>
  <c r="AC4" i="1"/>
  <c r="S56" i="1"/>
  <c r="S55" i="1"/>
  <c r="S54" i="1"/>
  <c r="S53" i="1"/>
  <c r="S52" i="1"/>
  <c r="S51" i="1"/>
  <c r="S50" i="1"/>
  <c r="S49" i="1"/>
  <c r="S48" i="1"/>
  <c r="S45" i="1"/>
  <c r="S44" i="1"/>
  <c r="S43" i="1"/>
  <c r="S42" i="1"/>
  <c r="S41" i="1"/>
  <c r="S40" i="1"/>
  <c r="S39" i="1"/>
  <c r="S38" i="1"/>
  <c r="S37" i="1"/>
  <c r="S34" i="1"/>
  <c r="S33" i="1"/>
  <c r="S32" i="1"/>
  <c r="S31" i="1"/>
  <c r="S30" i="1"/>
  <c r="S29" i="1"/>
  <c r="S28" i="1"/>
  <c r="S27" i="1"/>
  <c r="S26" i="1"/>
  <c r="V23" i="1"/>
  <c r="S22" i="1"/>
  <c r="S21" i="1"/>
  <c r="S20" i="1"/>
  <c r="S19" i="1"/>
  <c r="S18" i="1"/>
  <c r="S17" i="1"/>
  <c r="S16" i="1"/>
  <c r="S15" i="1"/>
  <c r="S11" i="1"/>
  <c r="S10" i="1"/>
  <c r="S9" i="1"/>
  <c r="S8" i="1"/>
  <c r="S7" i="1"/>
  <c r="S6" i="1"/>
  <c r="S5" i="1"/>
  <c r="S4" i="1"/>
  <c r="I56" i="1"/>
  <c r="I55" i="1"/>
  <c r="I54" i="1"/>
  <c r="I53" i="1"/>
  <c r="I52" i="1"/>
  <c r="I51" i="1"/>
  <c r="I50" i="1"/>
  <c r="I49" i="1"/>
  <c r="I48" i="1"/>
  <c r="I45" i="1"/>
  <c r="I44" i="1"/>
  <c r="I43" i="1"/>
  <c r="I42" i="1"/>
  <c r="I41" i="1"/>
  <c r="I40" i="1"/>
  <c r="I39" i="1"/>
  <c r="I38" i="1"/>
  <c r="I37" i="1"/>
  <c r="I34" i="1"/>
  <c r="I33" i="1"/>
  <c r="I32" i="1"/>
  <c r="I31" i="1"/>
  <c r="I30" i="1"/>
  <c r="I29" i="1"/>
  <c r="I28" i="1"/>
  <c r="I27" i="1"/>
  <c r="I26" i="1"/>
  <c r="I22" i="1"/>
  <c r="I21" i="1"/>
  <c r="I20" i="1"/>
  <c r="I19" i="1"/>
  <c r="I18" i="1"/>
  <c r="I17" i="1"/>
  <c r="I16" i="1"/>
  <c r="I15" i="1"/>
  <c r="I5" i="1"/>
  <c r="I6" i="1"/>
  <c r="I7" i="1"/>
  <c r="I8" i="1"/>
  <c r="I9" i="1"/>
  <c r="I10" i="1"/>
  <c r="I11" i="1"/>
  <c r="I4" i="1"/>
  <c r="Y59" i="1"/>
  <c r="AI59" i="1"/>
  <c r="AS59" i="1"/>
  <c r="BC59" i="1"/>
  <c r="BM59" i="1"/>
  <c r="BG59" i="1"/>
  <c r="O59" i="1"/>
  <c r="AI46" i="1"/>
  <c r="L23" i="1"/>
  <c r="BL26" i="1" l="1"/>
  <c r="BB11" i="1"/>
  <c r="BK26" i="1"/>
  <c r="BH19" i="1"/>
  <c r="BL11" i="1"/>
  <c r="BB51" i="1"/>
  <c r="AR51" i="1"/>
  <c r="AN27" i="1"/>
  <c r="BK11" i="1"/>
  <c r="BK5" i="1"/>
  <c r="AR32" i="1"/>
  <c r="BL51" i="1"/>
  <c r="BK51" i="1"/>
  <c r="BA51" i="1"/>
  <c r="BB44" i="1"/>
  <c r="AQ27" i="1"/>
  <c r="X19" i="1"/>
  <c r="M19" i="1"/>
  <c r="AH39" i="1"/>
  <c r="BL5" i="1"/>
  <c r="BB6" i="1"/>
  <c r="BA6" i="1"/>
  <c r="AX6" i="1"/>
  <c r="AQ51" i="1"/>
  <c r="AR27" i="1"/>
  <c r="T27" i="1"/>
  <c r="N53" i="1"/>
  <c r="AR6" i="1"/>
  <c r="AQ6" i="1"/>
  <c r="AG39" i="1"/>
  <c r="AH6" i="1"/>
  <c r="W6" i="1"/>
  <c r="AH51" i="1"/>
  <c r="AG51" i="1"/>
  <c r="X32" i="1"/>
  <c r="J20" i="1"/>
  <c r="AH27" i="1"/>
  <c r="AG27" i="1"/>
  <c r="X6" i="1"/>
  <c r="AG6" i="1"/>
  <c r="M53" i="1"/>
  <c r="N19" i="1"/>
  <c r="N42" i="1"/>
  <c r="M42" i="1"/>
  <c r="BL56" i="1"/>
  <c r="BK56" i="1"/>
  <c r="BH56" i="1"/>
  <c r="BJ56" i="1" s="1"/>
  <c r="BL55" i="1"/>
  <c r="BK55" i="1"/>
  <c r="BH55" i="1"/>
  <c r="BJ55" i="1" s="1"/>
  <c r="BL54" i="1"/>
  <c r="BK54" i="1"/>
  <c r="BH54" i="1"/>
  <c r="BJ54" i="1" s="1"/>
  <c r="BL53" i="1"/>
  <c r="BK53" i="1"/>
  <c r="BH53" i="1"/>
  <c r="BJ53" i="1" s="1"/>
  <c r="BL52" i="1"/>
  <c r="BK52" i="1"/>
  <c r="BH52" i="1"/>
  <c r="BJ52" i="1" s="1"/>
  <c r="BH34" i="1"/>
  <c r="BJ34" i="1" s="1"/>
  <c r="BL30" i="1"/>
  <c r="BK27" i="1"/>
  <c r="BG13" i="1"/>
  <c r="BH6" i="1"/>
  <c r="BJ6" i="1" s="1"/>
  <c r="BH51" i="1"/>
  <c r="BL50" i="1"/>
  <c r="BK50" i="1"/>
  <c r="BH50" i="1"/>
  <c r="BJ50" i="1" s="1"/>
  <c r="BL49" i="1"/>
  <c r="BK49" i="1"/>
  <c r="BH49" i="1"/>
  <c r="BJ49" i="1" s="1"/>
  <c r="BL48" i="1"/>
  <c r="BK48" i="1"/>
  <c r="BH48" i="1"/>
  <c r="BJ48" i="1" s="1"/>
  <c r="BG46" i="1"/>
  <c r="BL45" i="1"/>
  <c r="BK45" i="1"/>
  <c r="BH45" i="1"/>
  <c r="BJ45" i="1" s="1"/>
  <c r="BL44" i="1"/>
  <c r="BK44" i="1"/>
  <c r="BL43" i="1"/>
  <c r="BK43" i="1"/>
  <c r="BH43" i="1"/>
  <c r="BJ43" i="1" s="1"/>
  <c r="BL42" i="1"/>
  <c r="BK42" i="1"/>
  <c r="BH42" i="1"/>
  <c r="BJ42" i="1" s="1"/>
  <c r="BL41" i="1"/>
  <c r="BK41" i="1"/>
  <c r="BH41" i="1"/>
  <c r="BJ41" i="1" s="1"/>
  <c r="BH40" i="1"/>
  <c r="BJ40" i="1" s="1"/>
  <c r="BL39" i="1"/>
  <c r="BK39" i="1"/>
  <c r="BH39" i="1"/>
  <c r="BJ39" i="1" s="1"/>
  <c r="BL37" i="1"/>
  <c r="BK37" i="1"/>
  <c r="BH37" i="1"/>
  <c r="BG35" i="1"/>
  <c r="BL34" i="1"/>
  <c r="BK33" i="1"/>
  <c r="BK31" i="1"/>
  <c r="BH30" i="1"/>
  <c r="BJ30" i="1" s="1"/>
  <c r="BK29" i="1"/>
  <c r="BH29" i="1"/>
  <c r="BJ29" i="1" s="1"/>
  <c r="BK28" i="1"/>
  <c r="BH28" i="1"/>
  <c r="BJ28" i="1" s="1"/>
  <c r="BH44" i="1"/>
  <c r="BJ44" i="1" s="1"/>
  <c r="BI41" i="1"/>
  <c r="BL40" i="1"/>
  <c r="BK40" i="1"/>
  <c r="BI40" i="1"/>
  <c r="BK34" i="1"/>
  <c r="BL33" i="1"/>
  <c r="BH33" i="1"/>
  <c r="BJ33" i="1" s="1"/>
  <c r="BL32" i="1"/>
  <c r="BH31" i="1"/>
  <c r="BJ31" i="1" s="1"/>
  <c r="BL28" i="1"/>
  <c r="BL38" i="1"/>
  <c r="BK38" i="1"/>
  <c r="BH38" i="1"/>
  <c r="BJ38" i="1" s="1"/>
  <c r="BK32" i="1"/>
  <c r="BL31" i="1"/>
  <c r="BH32" i="1"/>
  <c r="BJ32" i="1" s="1"/>
  <c r="BH26" i="1"/>
  <c r="BG24" i="1"/>
  <c r="BL22" i="1"/>
  <c r="BK22" i="1"/>
  <c r="BH22" i="1"/>
  <c r="BJ22" i="1" s="1"/>
  <c r="BL21" i="1"/>
  <c r="BK21" i="1"/>
  <c r="BH21" i="1"/>
  <c r="BJ21" i="1" s="1"/>
  <c r="BL20" i="1"/>
  <c r="BK20" i="1"/>
  <c r="BH20" i="1"/>
  <c r="BJ20" i="1" s="1"/>
  <c r="BL19" i="1"/>
  <c r="BK19" i="1"/>
  <c r="BL15" i="1"/>
  <c r="BL6" i="1"/>
  <c r="BK6" i="1"/>
  <c r="BI6" i="1"/>
  <c r="BL18" i="1"/>
  <c r="BK18" i="1"/>
  <c r="BH18" i="1"/>
  <c r="BJ18" i="1" s="1"/>
  <c r="BL17" i="1"/>
  <c r="BK17" i="1"/>
  <c r="BH17" i="1"/>
  <c r="BJ17" i="1" s="1"/>
  <c r="BL16" i="1"/>
  <c r="BK16" i="1"/>
  <c r="BH16" i="1"/>
  <c r="BJ16" i="1" s="1"/>
  <c r="BK15" i="1"/>
  <c r="BK24" i="1" s="1"/>
  <c r="BH15" i="1"/>
  <c r="BH11" i="1"/>
  <c r="BJ11" i="1" s="1"/>
  <c r="BL10" i="1"/>
  <c r="BK10" i="1"/>
  <c r="BH10" i="1"/>
  <c r="BJ10" i="1" s="1"/>
  <c r="BL9" i="1"/>
  <c r="BK9" i="1"/>
  <c r="BH9" i="1"/>
  <c r="BJ9" i="1" s="1"/>
  <c r="BL8" i="1"/>
  <c r="BK8" i="1"/>
  <c r="BH8" i="1"/>
  <c r="BJ8" i="1" s="1"/>
  <c r="BL7" i="1"/>
  <c r="BK7" i="1"/>
  <c r="BH7" i="1"/>
  <c r="BJ7" i="1" s="1"/>
  <c r="BH5" i="1"/>
  <c r="BJ5" i="1" s="1"/>
  <c r="BL4" i="1"/>
  <c r="BK4" i="1"/>
  <c r="BH4" i="1"/>
  <c r="BK30" i="1"/>
  <c r="BL29" i="1"/>
  <c r="BL27" i="1"/>
  <c r="BH27" i="1"/>
  <c r="BJ27" i="1" s="1"/>
  <c r="BB56" i="1"/>
  <c r="BA56" i="1"/>
  <c r="AX56" i="1"/>
  <c r="AZ56" i="1" s="1"/>
  <c r="BB55" i="1"/>
  <c r="BA55" i="1"/>
  <c r="AX55" i="1"/>
  <c r="AZ55" i="1" s="1"/>
  <c r="BB54" i="1"/>
  <c r="BA54" i="1"/>
  <c r="AX54" i="1"/>
  <c r="AZ54" i="1" s="1"/>
  <c r="BB53" i="1"/>
  <c r="BA53" i="1"/>
  <c r="AX53" i="1"/>
  <c r="AZ53" i="1" s="1"/>
  <c r="BB52" i="1"/>
  <c r="BA52" i="1"/>
  <c r="AX52" i="1"/>
  <c r="AZ52" i="1" s="1"/>
  <c r="BB16" i="1"/>
  <c r="BB8" i="1"/>
  <c r="AX8" i="1"/>
  <c r="AZ8" i="1" s="1"/>
  <c r="BB7" i="1"/>
  <c r="AX51" i="1"/>
  <c r="AZ51" i="1" s="1"/>
  <c r="BB50" i="1"/>
  <c r="BA50" i="1"/>
  <c r="AX50" i="1"/>
  <c r="AZ50" i="1" s="1"/>
  <c r="BB49" i="1"/>
  <c r="BA49" i="1"/>
  <c r="AX49" i="1"/>
  <c r="AZ49" i="1" s="1"/>
  <c r="BB48" i="1"/>
  <c r="BA48" i="1"/>
  <c r="AX48" i="1"/>
  <c r="AZ48" i="1" s="1"/>
  <c r="AW46" i="1"/>
  <c r="BB45" i="1"/>
  <c r="BA45" i="1"/>
  <c r="AX45" i="1"/>
  <c r="AZ45" i="1" s="1"/>
  <c r="AX17" i="1"/>
  <c r="AZ17" i="1" s="1"/>
  <c r="BB9" i="1"/>
  <c r="AX9" i="1"/>
  <c r="AZ9" i="1" s="1"/>
  <c r="BA8" i="1"/>
  <c r="BA44" i="1"/>
  <c r="AX44" i="1"/>
  <c r="AZ44" i="1" s="1"/>
  <c r="BB43" i="1"/>
  <c r="BA43" i="1"/>
  <c r="AX43" i="1"/>
  <c r="AZ43" i="1" s="1"/>
  <c r="BB42" i="1"/>
  <c r="BA42" i="1"/>
  <c r="AX42" i="1"/>
  <c r="AZ42" i="1" s="1"/>
  <c r="BB41" i="1"/>
  <c r="BA41" i="1"/>
  <c r="AX41" i="1"/>
  <c r="AZ41" i="1" s="1"/>
  <c r="BB40" i="1"/>
  <c r="BA40" i="1"/>
  <c r="AX40" i="1"/>
  <c r="AZ40" i="1" s="1"/>
  <c r="BB39" i="1"/>
  <c r="BA39" i="1"/>
  <c r="AX39" i="1"/>
  <c r="AZ39" i="1" s="1"/>
  <c r="BB38" i="1"/>
  <c r="BA38" i="1"/>
  <c r="AX38" i="1"/>
  <c r="AZ38" i="1" s="1"/>
  <c r="BB37" i="1"/>
  <c r="BA37" i="1"/>
  <c r="AX37" i="1"/>
  <c r="AW35" i="1"/>
  <c r="BB34" i="1"/>
  <c r="BA34" i="1"/>
  <c r="AX34" i="1"/>
  <c r="AZ34" i="1" s="1"/>
  <c r="BB33" i="1"/>
  <c r="BA33" i="1"/>
  <c r="AX33" i="1"/>
  <c r="AZ33" i="1" s="1"/>
  <c r="BB32" i="1"/>
  <c r="BA32" i="1"/>
  <c r="AX32" i="1"/>
  <c r="AZ32" i="1" s="1"/>
  <c r="BB31" i="1"/>
  <c r="BA31" i="1"/>
  <c r="AX31" i="1"/>
  <c r="AZ31" i="1" s="1"/>
  <c r="BA30" i="1"/>
  <c r="AX30" i="1"/>
  <c r="AZ30" i="1" s="1"/>
  <c r="BA29" i="1"/>
  <c r="AX29" i="1"/>
  <c r="AZ29" i="1" s="1"/>
  <c r="BA28" i="1"/>
  <c r="BA19" i="1"/>
  <c r="AX19" i="1"/>
  <c r="AZ19" i="1" s="1"/>
  <c r="BB17" i="1"/>
  <c r="BA15" i="1"/>
  <c r="AX15" i="1"/>
  <c r="AW13" i="1"/>
  <c r="BA9" i="1"/>
  <c r="BB30" i="1"/>
  <c r="BB28" i="1"/>
  <c r="AX28" i="1"/>
  <c r="AZ28" i="1" s="1"/>
  <c r="BB27" i="1"/>
  <c r="BB19" i="1"/>
  <c r="BB18" i="1"/>
  <c r="AX18" i="1"/>
  <c r="AZ18" i="1" s="1"/>
  <c r="BA17" i="1"/>
  <c r="BB29" i="1"/>
  <c r="BA27" i="1"/>
  <c r="AX27" i="1"/>
  <c r="AZ27" i="1" s="1"/>
  <c r="BA7" i="1"/>
  <c r="AX7" i="1"/>
  <c r="AZ7" i="1" s="1"/>
  <c r="BB26" i="1"/>
  <c r="BA26" i="1"/>
  <c r="AX26" i="1"/>
  <c r="AW24" i="1"/>
  <c r="BB22" i="1"/>
  <c r="BA22" i="1"/>
  <c r="AX22" i="1"/>
  <c r="AZ22" i="1" s="1"/>
  <c r="BB21" i="1"/>
  <c r="BA21" i="1"/>
  <c r="AX21" i="1"/>
  <c r="AZ21" i="1" s="1"/>
  <c r="BB20" i="1"/>
  <c r="BA20" i="1"/>
  <c r="AX20" i="1"/>
  <c r="AZ20" i="1" s="1"/>
  <c r="BB15" i="1"/>
  <c r="BA18" i="1"/>
  <c r="BA16" i="1"/>
  <c r="AX16" i="1"/>
  <c r="AZ16" i="1" s="1"/>
  <c r="BA11" i="1"/>
  <c r="AX11" i="1"/>
  <c r="AZ11" i="1" s="1"/>
  <c r="BB10" i="1"/>
  <c r="BA10" i="1"/>
  <c r="AX10" i="1"/>
  <c r="AZ10" i="1" s="1"/>
  <c r="AY7" i="1"/>
  <c r="BB5" i="1"/>
  <c r="BA5" i="1"/>
  <c r="AX5" i="1"/>
  <c r="AZ5" i="1" s="1"/>
  <c r="BB4" i="1"/>
  <c r="BA4" i="1"/>
  <c r="AX4" i="1"/>
  <c r="AY6" i="1"/>
  <c r="AR56" i="1"/>
  <c r="AQ56" i="1"/>
  <c r="AN56" i="1"/>
  <c r="AP56" i="1" s="1"/>
  <c r="AR55" i="1"/>
  <c r="AQ55" i="1"/>
  <c r="AN55" i="1"/>
  <c r="AP55" i="1" s="1"/>
  <c r="AR54" i="1"/>
  <c r="AQ54" i="1"/>
  <c r="AN54" i="1"/>
  <c r="AP54" i="1" s="1"/>
  <c r="AR53" i="1"/>
  <c r="AQ53" i="1"/>
  <c r="AN53" i="1"/>
  <c r="AP53" i="1" s="1"/>
  <c r="AR52" i="1"/>
  <c r="AQ52" i="1"/>
  <c r="AN52" i="1"/>
  <c r="AP52" i="1" s="1"/>
  <c r="AN34" i="1"/>
  <c r="AP34" i="1" s="1"/>
  <c r="AQ31" i="1"/>
  <c r="AQ30" i="1"/>
  <c r="AN51" i="1"/>
  <c r="AP51" i="1" s="1"/>
  <c r="AR50" i="1"/>
  <c r="AQ50" i="1"/>
  <c r="AN50" i="1"/>
  <c r="AP50" i="1" s="1"/>
  <c r="AR49" i="1"/>
  <c r="AQ49" i="1"/>
  <c r="AN49" i="1"/>
  <c r="AP49" i="1" s="1"/>
  <c r="AR48" i="1"/>
  <c r="AQ48" i="1"/>
  <c r="AN48" i="1"/>
  <c r="AP48" i="1" s="1"/>
  <c r="AM46" i="1"/>
  <c r="AR45" i="1"/>
  <c r="AQ45" i="1"/>
  <c r="AN45" i="1"/>
  <c r="AP45" i="1" s="1"/>
  <c r="AR43" i="1"/>
  <c r="AQ43" i="1"/>
  <c r="AN43" i="1"/>
  <c r="AP43" i="1" s="1"/>
  <c r="AR42" i="1"/>
  <c r="AQ42" i="1"/>
  <c r="AN42" i="1"/>
  <c r="AP42" i="1" s="1"/>
  <c r="AR41" i="1"/>
  <c r="AQ41" i="1"/>
  <c r="AN41" i="1"/>
  <c r="AP41" i="1" s="1"/>
  <c r="AR40" i="1"/>
  <c r="AQ40" i="1"/>
  <c r="AN40" i="1"/>
  <c r="AP40" i="1" s="1"/>
  <c r="AQ39" i="1"/>
  <c r="AQ38" i="1"/>
  <c r="AN38" i="1"/>
  <c r="AP38" i="1" s="1"/>
  <c r="AQ37" i="1"/>
  <c r="AM35" i="1"/>
  <c r="AR34" i="1"/>
  <c r="AQ29" i="1"/>
  <c r="AN29" i="1"/>
  <c r="AP29" i="1" s="1"/>
  <c r="AR28" i="1"/>
  <c r="AN28" i="1"/>
  <c r="AP28" i="1" s="1"/>
  <c r="AN7" i="1"/>
  <c r="AP7" i="1" s="1"/>
  <c r="AR44" i="1"/>
  <c r="AQ44" i="1"/>
  <c r="AN44" i="1"/>
  <c r="AP44" i="1" s="1"/>
  <c r="AR39" i="1"/>
  <c r="AR38" i="1"/>
  <c r="AR37" i="1"/>
  <c r="AN37" i="1"/>
  <c r="AO34" i="1"/>
  <c r="AR33" i="1"/>
  <c r="AN39" i="1"/>
  <c r="AP39" i="1" s="1"/>
  <c r="AN33" i="1"/>
  <c r="AP33" i="1" s="1"/>
  <c r="AQ32" i="1"/>
  <c r="AN32" i="1"/>
  <c r="AP32" i="1" s="1"/>
  <c r="AR31" i="1"/>
  <c r="AN31" i="1"/>
  <c r="AP31" i="1" s="1"/>
  <c r="AR29" i="1"/>
  <c r="AR26" i="1"/>
  <c r="AQ26" i="1"/>
  <c r="AN26" i="1"/>
  <c r="AM24" i="1"/>
  <c r="AR22" i="1"/>
  <c r="AQ22" i="1"/>
  <c r="AN22" i="1"/>
  <c r="AP22" i="1" s="1"/>
  <c r="AR21" i="1"/>
  <c r="AQ21" i="1"/>
  <c r="AN21" i="1"/>
  <c r="AP21" i="1" s="1"/>
  <c r="AR20" i="1"/>
  <c r="AQ20" i="1"/>
  <c r="AN20" i="1"/>
  <c r="AP20" i="1" s="1"/>
  <c r="AR19" i="1"/>
  <c r="AR18" i="1"/>
  <c r="AQ18" i="1"/>
  <c r="AN18" i="1"/>
  <c r="AP18" i="1" s="1"/>
  <c r="AR17" i="1"/>
  <c r="AQ17" i="1"/>
  <c r="AN17" i="1"/>
  <c r="AP17" i="1" s="1"/>
  <c r="AQ16" i="1"/>
  <c r="AQ15" i="1"/>
  <c r="AR9" i="1"/>
  <c r="AN9" i="1"/>
  <c r="AP9" i="1" s="1"/>
  <c r="AQ8" i="1"/>
  <c r="AQ19" i="1"/>
  <c r="AN19" i="1"/>
  <c r="AP19" i="1" s="1"/>
  <c r="AR16" i="1"/>
  <c r="AN16" i="1"/>
  <c r="AP16" i="1" s="1"/>
  <c r="AR15" i="1"/>
  <c r="AR24" i="1" s="1"/>
  <c r="AN15" i="1"/>
  <c r="AQ9" i="1"/>
  <c r="AM13" i="1"/>
  <c r="AR11" i="1"/>
  <c r="AQ11" i="1"/>
  <c r="AN11" i="1"/>
  <c r="AP11" i="1" s="1"/>
  <c r="AR10" i="1"/>
  <c r="AQ10" i="1"/>
  <c r="AN10" i="1"/>
  <c r="AP10" i="1" s="1"/>
  <c r="AO9" i="1"/>
  <c r="AR8" i="1"/>
  <c r="AN8" i="1"/>
  <c r="AP8" i="1" s="1"/>
  <c r="AR7" i="1"/>
  <c r="AQ7" i="1"/>
  <c r="AN6" i="1"/>
  <c r="AP6" i="1" s="1"/>
  <c r="AR5" i="1"/>
  <c r="AQ5" i="1"/>
  <c r="AN5" i="1"/>
  <c r="AP5" i="1" s="1"/>
  <c r="AR4" i="1"/>
  <c r="AQ4" i="1"/>
  <c r="AN4" i="1"/>
  <c r="AQ33" i="1"/>
  <c r="AQ34" i="1"/>
  <c r="AR30" i="1"/>
  <c r="AN30" i="1"/>
  <c r="AP30" i="1" s="1"/>
  <c r="AQ28" i="1"/>
  <c r="AH56" i="1"/>
  <c r="AG56" i="1"/>
  <c r="AD56" i="1"/>
  <c r="AF56" i="1" s="1"/>
  <c r="AH55" i="1"/>
  <c r="AG55" i="1"/>
  <c r="AD55" i="1"/>
  <c r="AF55" i="1" s="1"/>
  <c r="AH54" i="1"/>
  <c r="AG54" i="1"/>
  <c r="AD54" i="1"/>
  <c r="AF54" i="1" s="1"/>
  <c r="AH53" i="1"/>
  <c r="AG53" i="1"/>
  <c r="AD53" i="1"/>
  <c r="AF53" i="1" s="1"/>
  <c r="AH52" i="1"/>
  <c r="AG52" i="1"/>
  <c r="AD52" i="1"/>
  <c r="AF52" i="1" s="1"/>
  <c r="AH15" i="1"/>
  <c r="AD15" i="1"/>
  <c r="AH7" i="1"/>
  <c r="AD51" i="1"/>
  <c r="AF51" i="1" s="1"/>
  <c r="AH50" i="1"/>
  <c r="AG50" i="1"/>
  <c r="AD50" i="1"/>
  <c r="AF50" i="1" s="1"/>
  <c r="AH49" i="1"/>
  <c r="AG49" i="1"/>
  <c r="AD49" i="1"/>
  <c r="AF49" i="1" s="1"/>
  <c r="AH48" i="1"/>
  <c r="AG48" i="1"/>
  <c r="AD48" i="1"/>
  <c r="AF48" i="1" s="1"/>
  <c r="AC46" i="1"/>
  <c r="AH45" i="1"/>
  <c r="AG45" i="1"/>
  <c r="AD45" i="1"/>
  <c r="AF45" i="1" s="1"/>
  <c r="AD8" i="1"/>
  <c r="AF8" i="1" s="1"/>
  <c r="AH44" i="1"/>
  <c r="AG44" i="1"/>
  <c r="AD44" i="1"/>
  <c r="AF44" i="1" s="1"/>
  <c r="AH43" i="1"/>
  <c r="AG43" i="1"/>
  <c r="AD43" i="1"/>
  <c r="AF43" i="1" s="1"/>
  <c r="AH42" i="1"/>
  <c r="AG42" i="1"/>
  <c r="AD42" i="1"/>
  <c r="AF42" i="1" s="1"/>
  <c r="AH41" i="1"/>
  <c r="AG41" i="1"/>
  <c r="AD41" i="1"/>
  <c r="AF41" i="1" s="1"/>
  <c r="AH40" i="1"/>
  <c r="AG40" i="1"/>
  <c r="AD40" i="1"/>
  <c r="AF40" i="1" s="1"/>
  <c r="AD39" i="1"/>
  <c r="AH38" i="1"/>
  <c r="AG38" i="1"/>
  <c r="AD38" i="1"/>
  <c r="AF38" i="1" s="1"/>
  <c r="AH37" i="1"/>
  <c r="AG37" i="1"/>
  <c r="AD37" i="1"/>
  <c r="AC35" i="1"/>
  <c r="AH34" i="1"/>
  <c r="AG34" i="1"/>
  <c r="AD34" i="1"/>
  <c r="AF34" i="1" s="1"/>
  <c r="AH33" i="1"/>
  <c r="AG33" i="1"/>
  <c r="AD33" i="1"/>
  <c r="AF33" i="1" s="1"/>
  <c r="AH32" i="1"/>
  <c r="AH31" i="1"/>
  <c r="AG31" i="1"/>
  <c r="AD31" i="1"/>
  <c r="AF31" i="1" s="1"/>
  <c r="AH30" i="1"/>
  <c r="AG30" i="1"/>
  <c r="AD30" i="1"/>
  <c r="AF30" i="1" s="1"/>
  <c r="AH29" i="1"/>
  <c r="AG29" i="1"/>
  <c r="AD29" i="1"/>
  <c r="AF29" i="1" s="1"/>
  <c r="AG28" i="1"/>
  <c r="AD9" i="1"/>
  <c r="AF9" i="1" s="1"/>
  <c r="AH8" i="1"/>
  <c r="AG7" i="1"/>
  <c r="AG32" i="1"/>
  <c r="AD32" i="1"/>
  <c r="AF32" i="1" s="1"/>
  <c r="AH28" i="1"/>
  <c r="AD28" i="1"/>
  <c r="AF28" i="1" s="1"/>
  <c r="AD27" i="1"/>
  <c r="AH26" i="1"/>
  <c r="AG26" i="1"/>
  <c r="AD26" i="1"/>
  <c r="AC24" i="1"/>
  <c r="AH22" i="1"/>
  <c r="AG22" i="1"/>
  <c r="AD22" i="1"/>
  <c r="AF22" i="1" s="1"/>
  <c r="AH21" i="1"/>
  <c r="AG21" i="1"/>
  <c r="AD21" i="1"/>
  <c r="AF21" i="1" s="1"/>
  <c r="AH20" i="1"/>
  <c r="AG20" i="1"/>
  <c r="AD20" i="1"/>
  <c r="AF20" i="1" s="1"/>
  <c r="AH19" i="1"/>
  <c r="AH18" i="1"/>
  <c r="AG18" i="1"/>
  <c r="AD18" i="1"/>
  <c r="AF18" i="1" s="1"/>
  <c r="AH17" i="1"/>
  <c r="AG17" i="1"/>
  <c r="AD17" i="1"/>
  <c r="AF17" i="1" s="1"/>
  <c r="AH16" i="1"/>
  <c r="AG16" i="1"/>
  <c r="AD16" i="1"/>
  <c r="AF16" i="1" s="1"/>
  <c r="AD7" i="1"/>
  <c r="AF7" i="1" s="1"/>
  <c r="AG19" i="1"/>
  <c r="AD19" i="1"/>
  <c r="AF19" i="1" s="1"/>
  <c r="AG15" i="1"/>
  <c r="AC13" i="1"/>
  <c r="AH11" i="1"/>
  <c r="AG11" i="1"/>
  <c r="AD11" i="1"/>
  <c r="AF11" i="1" s="1"/>
  <c r="AH10" i="1"/>
  <c r="AG10" i="1"/>
  <c r="AD10" i="1"/>
  <c r="AF10" i="1" s="1"/>
  <c r="AH9" i="1"/>
  <c r="AG9" i="1"/>
  <c r="AG8" i="1"/>
  <c r="AD6" i="1"/>
  <c r="AF6" i="1" s="1"/>
  <c r="AH5" i="1"/>
  <c r="AG5" i="1"/>
  <c r="AD5" i="1"/>
  <c r="AF5" i="1" s="1"/>
  <c r="AH4" i="1"/>
  <c r="AG4" i="1"/>
  <c r="AD4" i="1"/>
  <c r="X56" i="1"/>
  <c r="W56" i="1"/>
  <c r="T56" i="1"/>
  <c r="V56" i="1" s="1"/>
  <c r="X55" i="1"/>
  <c r="W55" i="1"/>
  <c r="T55" i="1"/>
  <c r="V55" i="1" s="1"/>
  <c r="X54" i="1"/>
  <c r="W54" i="1"/>
  <c r="T54" i="1"/>
  <c r="V54" i="1" s="1"/>
  <c r="X53" i="1"/>
  <c r="W53" i="1"/>
  <c r="T53" i="1"/>
  <c r="V53" i="1" s="1"/>
  <c r="X52" i="1"/>
  <c r="W52" i="1"/>
  <c r="T52" i="1"/>
  <c r="V52" i="1" s="1"/>
  <c r="X51" i="1"/>
  <c r="W51" i="1"/>
  <c r="T51" i="1"/>
  <c r="V51" i="1" s="1"/>
  <c r="W50" i="1"/>
  <c r="X49" i="1"/>
  <c r="W49" i="1"/>
  <c r="T49" i="1"/>
  <c r="V49" i="1" s="1"/>
  <c r="X48" i="1"/>
  <c r="W48" i="1"/>
  <c r="T48" i="1"/>
  <c r="V48" i="1" s="1"/>
  <c r="S46" i="1"/>
  <c r="X45" i="1"/>
  <c r="X39" i="1"/>
  <c r="T37" i="1"/>
  <c r="S35" i="1"/>
  <c r="X50" i="1"/>
  <c r="T50" i="1"/>
  <c r="V50" i="1" s="1"/>
  <c r="W45" i="1"/>
  <c r="T45" i="1"/>
  <c r="V45" i="1" s="1"/>
  <c r="T43" i="1"/>
  <c r="V43" i="1" s="1"/>
  <c r="X42" i="1"/>
  <c r="W42" i="1"/>
  <c r="T42" i="1"/>
  <c r="V42" i="1" s="1"/>
  <c r="X41" i="1"/>
  <c r="W41" i="1"/>
  <c r="T41" i="1"/>
  <c r="V41" i="1" s="1"/>
  <c r="X40" i="1"/>
  <c r="W40" i="1"/>
  <c r="W37" i="1"/>
  <c r="W34" i="1"/>
  <c r="W33" i="1"/>
  <c r="T33" i="1"/>
  <c r="V33" i="1" s="1"/>
  <c r="X44" i="1"/>
  <c r="W44" i="1"/>
  <c r="T44" i="1"/>
  <c r="V44" i="1" s="1"/>
  <c r="X43" i="1"/>
  <c r="W43" i="1"/>
  <c r="U43" i="1"/>
  <c r="T40" i="1"/>
  <c r="V40" i="1" s="1"/>
  <c r="W39" i="1"/>
  <c r="X38" i="1"/>
  <c r="W38" i="1"/>
  <c r="T38" i="1"/>
  <c r="V38" i="1" s="1"/>
  <c r="X37" i="1"/>
  <c r="X46" i="1" s="1"/>
  <c r="X34" i="1"/>
  <c r="T34" i="1"/>
  <c r="V34" i="1" s="1"/>
  <c r="X33" i="1"/>
  <c r="T9" i="1"/>
  <c r="V9" i="1" s="1"/>
  <c r="T7" i="1"/>
  <c r="V7" i="1" s="1"/>
  <c r="T39" i="1"/>
  <c r="V39" i="1" s="1"/>
  <c r="T15" i="1"/>
  <c r="X9" i="1"/>
  <c r="W32" i="1"/>
  <c r="T32" i="1"/>
  <c r="V32" i="1" s="1"/>
  <c r="X31" i="1"/>
  <c r="W31" i="1"/>
  <c r="T31" i="1"/>
  <c r="V31" i="1" s="1"/>
  <c r="X30" i="1"/>
  <c r="W30" i="1"/>
  <c r="T30" i="1"/>
  <c r="V30" i="1" s="1"/>
  <c r="X29" i="1"/>
  <c r="W29" i="1"/>
  <c r="T29" i="1"/>
  <c r="V29" i="1" s="1"/>
  <c r="X28" i="1"/>
  <c r="W28" i="1"/>
  <c r="T28" i="1"/>
  <c r="V28" i="1" s="1"/>
  <c r="X27" i="1"/>
  <c r="W27" i="1"/>
  <c r="X26" i="1"/>
  <c r="W26" i="1"/>
  <c r="T26" i="1"/>
  <c r="S24" i="1"/>
  <c r="X22" i="1"/>
  <c r="W22" i="1"/>
  <c r="T22" i="1"/>
  <c r="V22" i="1" s="1"/>
  <c r="X21" i="1"/>
  <c r="W21" i="1"/>
  <c r="T21" i="1"/>
  <c r="V21" i="1" s="1"/>
  <c r="X20" i="1"/>
  <c r="W20" i="1"/>
  <c r="T20" i="1"/>
  <c r="V20" i="1" s="1"/>
  <c r="X15" i="1"/>
  <c r="W15" i="1"/>
  <c r="W9" i="1"/>
  <c r="X8" i="1"/>
  <c r="X7" i="1"/>
  <c r="W19" i="1"/>
  <c r="T19" i="1"/>
  <c r="V19" i="1" s="1"/>
  <c r="X18" i="1"/>
  <c r="W18" i="1"/>
  <c r="T18" i="1"/>
  <c r="V18" i="1" s="1"/>
  <c r="X17" i="1"/>
  <c r="W17" i="1"/>
  <c r="T17" i="1"/>
  <c r="V17" i="1" s="1"/>
  <c r="X16" i="1"/>
  <c r="W16" i="1"/>
  <c r="T16" i="1"/>
  <c r="V16" i="1" s="1"/>
  <c r="W8" i="1"/>
  <c r="T8" i="1"/>
  <c r="V8" i="1" s="1"/>
  <c r="W7" i="1"/>
  <c r="S13" i="1"/>
  <c r="X11" i="1"/>
  <c r="W11" i="1"/>
  <c r="T11" i="1"/>
  <c r="V11" i="1" s="1"/>
  <c r="X10" i="1"/>
  <c r="W10" i="1"/>
  <c r="T10" i="1"/>
  <c r="V10" i="1" s="1"/>
  <c r="T6" i="1"/>
  <c r="V6" i="1" s="1"/>
  <c r="X5" i="1"/>
  <c r="W5" i="1"/>
  <c r="T5" i="1"/>
  <c r="V5" i="1" s="1"/>
  <c r="X4" i="1"/>
  <c r="W4" i="1"/>
  <c r="T4" i="1"/>
  <c r="N56" i="1"/>
  <c r="M56" i="1"/>
  <c r="J56" i="1"/>
  <c r="L56" i="1" s="1"/>
  <c r="N55" i="1"/>
  <c r="M55" i="1"/>
  <c r="J55" i="1"/>
  <c r="L55" i="1" s="1"/>
  <c r="N54" i="1"/>
  <c r="M54" i="1"/>
  <c r="J54" i="1"/>
  <c r="L54" i="1" s="1"/>
  <c r="J53" i="1"/>
  <c r="L53" i="1" s="1"/>
  <c r="N52" i="1"/>
  <c r="M52" i="1"/>
  <c r="J52" i="1"/>
  <c r="L52" i="1" s="1"/>
  <c r="N51" i="1"/>
  <c r="M51" i="1"/>
  <c r="J51" i="1"/>
  <c r="L51" i="1" s="1"/>
  <c r="N50" i="1"/>
  <c r="M50" i="1"/>
  <c r="J50" i="1"/>
  <c r="L50" i="1" s="1"/>
  <c r="N49" i="1"/>
  <c r="M49" i="1"/>
  <c r="J49" i="1"/>
  <c r="L49" i="1" s="1"/>
  <c r="N48" i="1"/>
  <c r="M48" i="1"/>
  <c r="J48" i="1"/>
  <c r="L48" i="1" s="1"/>
  <c r="N45" i="1"/>
  <c r="M45" i="1"/>
  <c r="J45" i="1"/>
  <c r="L45" i="1" s="1"/>
  <c r="N44" i="1"/>
  <c r="M44" i="1"/>
  <c r="J44" i="1"/>
  <c r="L44" i="1" s="1"/>
  <c r="N43" i="1"/>
  <c r="M43" i="1"/>
  <c r="J43" i="1"/>
  <c r="L43" i="1" s="1"/>
  <c r="J42" i="1"/>
  <c r="L42" i="1" s="1"/>
  <c r="N41" i="1"/>
  <c r="M41" i="1"/>
  <c r="J41" i="1"/>
  <c r="L41" i="1" s="1"/>
  <c r="N40" i="1"/>
  <c r="M40" i="1"/>
  <c r="J40" i="1"/>
  <c r="L40" i="1" s="1"/>
  <c r="N39" i="1"/>
  <c r="M39" i="1"/>
  <c r="J39" i="1"/>
  <c r="L39" i="1" s="1"/>
  <c r="N38" i="1"/>
  <c r="M38" i="1"/>
  <c r="J38" i="1"/>
  <c r="L38" i="1" s="1"/>
  <c r="N37" i="1"/>
  <c r="M37" i="1"/>
  <c r="J37" i="1"/>
  <c r="L37" i="1" s="1"/>
  <c r="J34" i="1"/>
  <c r="L34" i="1" s="1"/>
  <c r="N34" i="1"/>
  <c r="K34" i="1"/>
  <c r="M34" i="1"/>
  <c r="N33" i="1"/>
  <c r="M33" i="1"/>
  <c r="J33" i="1"/>
  <c r="L33" i="1" s="1"/>
  <c r="J32" i="1"/>
  <c r="L32" i="1" s="1"/>
  <c r="N31" i="1"/>
  <c r="M31" i="1"/>
  <c r="J31" i="1"/>
  <c r="L31" i="1" s="1"/>
  <c r="N30" i="1"/>
  <c r="M30" i="1"/>
  <c r="M29" i="1"/>
  <c r="J27" i="1"/>
  <c r="L27" i="1" s="1"/>
  <c r="J30" i="1"/>
  <c r="L30" i="1" s="1"/>
  <c r="N29" i="1"/>
  <c r="J29" i="1"/>
  <c r="L29" i="1" s="1"/>
  <c r="N28" i="1"/>
  <c r="M28" i="1"/>
  <c r="J28" i="1"/>
  <c r="L28" i="1" s="1"/>
  <c r="N27" i="1"/>
  <c r="M27" i="1"/>
  <c r="K27" i="1"/>
  <c r="N26" i="1"/>
  <c r="M26" i="1"/>
  <c r="J26" i="1"/>
  <c r="L26" i="1" s="1"/>
  <c r="N32" i="1"/>
  <c r="M32" i="1"/>
  <c r="K32" i="1"/>
  <c r="N22" i="1"/>
  <c r="M22" i="1"/>
  <c r="J22" i="1"/>
  <c r="L22" i="1" s="1"/>
  <c r="N21" i="1"/>
  <c r="M21" i="1"/>
  <c r="J21" i="1"/>
  <c r="L21" i="1" s="1"/>
  <c r="N20" i="1"/>
  <c r="M20" i="1"/>
  <c r="J19" i="1"/>
  <c r="L19" i="1" s="1"/>
  <c r="N18" i="1"/>
  <c r="M18" i="1"/>
  <c r="J18" i="1"/>
  <c r="L18" i="1" s="1"/>
  <c r="N17" i="1"/>
  <c r="M17" i="1"/>
  <c r="J17" i="1"/>
  <c r="L17" i="1" s="1"/>
  <c r="N16" i="1"/>
  <c r="M16" i="1"/>
  <c r="J16" i="1"/>
  <c r="L16" i="1" s="1"/>
  <c r="N15" i="1"/>
  <c r="M15" i="1"/>
  <c r="J15" i="1"/>
  <c r="L15" i="1" s="1"/>
  <c r="M8" i="1"/>
  <c r="N8" i="1"/>
  <c r="J11" i="1"/>
  <c r="L11" i="1" s="1"/>
  <c r="N11" i="1"/>
  <c r="J5" i="1"/>
  <c r="L5" i="1" s="1"/>
  <c r="N5" i="1"/>
  <c r="J6" i="1"/>
  <c r="L6" i="1" s="1"/>
  <c r="M6" i="1"/>
  <c r="K11" i="1"/>
  <c r="K5" i="1"/>
  <c r="K6" i="1"/>
  <c r="N6" i="1"/>
  <c r="J7" i="1"/>
  <c r="L7" i="1" s="1"/>
  <c r="M7" i="1"/>
  <c r="N7" i="1"/>
  <c r="M5" i="1"/>
  <c r="J8" i="1"/>
  <c r="L8" i="1" s="1"/>
  <c r="J9" i="1"/>
  <c r="L9" i="1" s="1"/>
  <c r="K9" i="1"/>
  <c r="M9" i="1"/>
  <c r="N9" i="1"/>
  <c r="J10" i="1"/>
  <c r="L10" i="1" s="1"/>
  <c r="M10" i="1"/>
  <c r="N10" i="1"/>
  <c r="M11" i="1"/>
  <c r="N4" i="1"/>
  <c r="M4" i="1"/>
  <c r="J4" i="1"/>
  <c r="L4" i="1" s="1"/>
  <c r="I59" i="1"/>
  <c r="S59" i="1"/>
  <c r="AC59" i="1"/>
  <c r="AM59" i="1"/>
  <c r="AW59" i="1"/>
  <c r="I24" i="1"/>
  <c r="BG57" i="1"/>
  <c r="AW57" i="1"/>
  <c r="AM57" i="1"/>
  <c r="AC57" i="1"/>
  <c r="S57" i="1"/>
  <c r="I57" i="1"/>
  <c r="I46" i="1"/>
  <c r="I35" i="1"/>
  <c r="I13" i="1"/>
  <c r="BI29" i="1" l="1"/>
  <c r="AZ6" i="1"/>
  <c r="AE15" i="1"/>
  <c r="U51" i="1"/>
  <c r="AY9" i="1"/>
  <c r="BB13" i="1"/>
  <c r="BA13" i="1"/>
  <c r="AO29" i="1"/>
  <c r="AO28" i="1"/>
  <c r="BI37" i="1"/>
  <c r="BI34" i="1"/>
  <c r="AY48" i="1"/>
  <c r="BI30" i="1"/>
  <c r="BI28" i="1"/>
  <c r="BJ19" i="1"/>
  <c r="BI19" i="1"/>
  <c r="AY4" i="1"/>
  <c r="BL13" i="1"/>
  <c r="BK13" i="1"/>
  <c r="BI31" i="1"/>
  <c r="AY54" i="1"/>
  <c r="AY38" i="1"/>
  <c r="BA46" i="1"/>
  <c r="AY8" i="1"/>
  <c r="BB35" i="1"/>
  <c r="BA35" i="1"/>
  <c r="AY19" i="1"/>
  <c r="AY17" i="1"/>
  <c r="AY15" i="1"/>
  <c r="AO41" i="1"/>
  <c r="AP27" i="1"/>
  <c r="AO38" i="1"/>
  <c r="AR46" i="1"/>
  <c r="AO27" i="1"/>
  <c r="AO7" i="1"/>
  <c r="AE28" i="1"/>
  <c r="AG24" i="1"/>
  <c r="U37" i="1"/>
  <c r="V27" i="1"/>
  <c r="U27" i="1"/>
  <c r="U8" i="1"/>
  <c r="K50" i="1"/>
  <c r="L20" i="1"/>
  <c r="K20" i="1"/>
  <c r="BI51" i="1"/>
  <c r="BJ51" i="1"/>
  <c r="BH46" i="1"/>
  <c r="BJ37" i="1"/>
  <c r="BJ46" i="1" s="1"/>
  <c r="BJ26" i="1"/>
  <c r="BJ35" i="1" s="1"/>
  <c r="BH35" i="1"/>
  <c r="BJ15" i="1"/>
  <c r="BH24" i="1"/>
  <c r="BJ4" i="1"/>
  <c r="BJ13" i="1" s="1"/>
  <c r="BH13" i="1"/>
  <c r="BI21" i="1"/>
  <c r="BI20" i="1"/>
  <c r="BL24" i="1"/>
  <c r="BI15" i="1"/>
  <c r="BL35" i="1"/>
  <c r="BI5" i="1"/>
  <c r="BK35" i="1"/>
  <c r="BI32" i="1"/>
  <c r="BI26" i="1"/>
  <c r="BI16" i="1"/>
  <c r="BI7" i="1"/>
  <c r="BI38" i="1"/>
  <c r="BI10" i="1"/>
  <c r="BI4" i="1"/>
  <c r="BI52" i="1"/>
  <c r="BI39" i="1"/>
  <c r="BI44" i="1"/>
  <c r="BI8" i="1"/>
  <c r="BK57" i="1"/>
  <c r="BL57" i="1"/>
  <c r="BH57" i="1"/>
  <c r="BI56" i="1"/>
  <c r="BI55" i="1"/>
  <c r="BI54" i="1"/>
  <c r="BI53" i="1"/>
  <c r="BI33" i="1"/>
  <c r="BI50" i="1"/>
  <c r="BI49" i="1"/>
  <c r="BI48" i="1"/>
  <c r="BI43" i="1"/>
  <c r="BL46" i="1"/>
  <c r="BI22" i="1"/>
  <c r="BI18" i="1"/>
  <c r="BI11" i="1"/>
  <c r="BI9" i="1"/>
  <c r="BI17" i="1"/>
  <c r="BI42" i="1"/>
  <c r="BI45" i="1"/>
  <c r="BK46" i="1"/>
  <c r="BI27" i="1"/>
  <c r="AZ37" i="1"/>
  <c r="AZ46" i="1" s="1"/>
  <c r="AX46" i="1"/>
  <c r="AZ15" i="1"/>
  <c r="AZ24" i="1" s="1"/>
  <c r="AX24" i="1"/>
  <c r="AZ26" i="1"/>
  <c r="AZ35" i="1" s="1"/>
  <c r="AX35" i="1"/>
  <c r="AZ4" i="1"/>
  <c r="AX13" i="1"/>
  <c r="AY56" i="1"/>
  <c r="AY55" i="1"/>
  <c r="AY53" i="1"/>
  <c r="AY52" i="1"/>
  <c r="AY51" i="1"/>
  <c r="AY33" i="1"/>
  <c r="AY31" i="1"/>
  <c r="AY26" i="1"/>
  <c r="AY10" i="1"/>
  <c r="AY50" i="1"/>
  <c r="AY49" i="1"/>
  <c r="AY44" i="1"/>
  <c r="AY43" i="1"/>
  <c r="AY41" i="1"/>
  <c r="AY37" i="1"/>
  <c r="AY34" i="1"/>
  <c r="BB24" i="1"/>
  <c r="AY11" i="1"/>
  <c r="AY32" i="1"/>
  <c r="AY29" i="1"/>
  <c r="AY28" i="1"/>
  <c r="BA57" i="1"/>
  <c r="AX57" i="1"/>
  <c r="BB57" i="1"/>
  <c r="AY45" i="1"/>
  <c r="AY27" i="1"/>
  <c r="AY21" i="1"/>
  <c r="BA24" i="1"/>
  <c r="AY22" i="1"/>
  <c r="AY20" i="1"/>
  <c r="AY40" i="1"/>
  <c r="AY30" i="1"/>
  <c r="AY18" i="1"/>
  <c r="AY5" i="1"/>
  <c r="AY42" i="1"/>
  <c r="AY39" i="1"/>
  <c r="BB46" i="1"/>
  <c r="AY16" i="1"/>
  <c r="AN46" i="1"/>
  <c r="AP37" i="1"/>
  <c r="AP46" i="1" s="1"/>
  <c r="AP26" i="1"/>
  <c r="AN35" i="1"/>
  <c r="AP15" i="1"/>
  <c r="AP24" i="1" s="1"/>
  <c r="AN24" i="1"/>
  <c r="AP4" i="1"/>
  <c r="AP13" i="1" s="1"/>
  <c r="AN13" i="1"/>
  <c r="AO22" i="1"/>
  <c r="AO21" i="1"/>
  <c r="AO16" i="1"/>
  <c r="AO6" i="1"/>
  <c r="AO5" i="1"/>
  <c r="AR13" i="1"/>
  <c r="AQ13" i="1"/>
  <c r="AO4" i="1"/>
  <c r="AO11" i="1"/>
  <c r="AO8" i="1"/>
  <c r="AO45" i="1"/>
  <c r="AO43" i="1"/>
  <c r="AO33" i="1"/>
  <c r="AO26" i="1"/>
  <c r="AO31" i="1"/>
  <c r="AO49" i="1"/>
  <c r="AO15" i="1"/>
  <c r="AO10" i="1"/>
  <c r="AO20" i="1"/>
  <c r="AQ24" i="1"/>
  <c r="AR57" i="1"/>
  <c r="AQ57" i="1"/>
  <c r="AN57" i="1"/>
  <c r="AO56" i="1"/>
  <c r="AO55" i="1"/>
  <c r="AO54" i="1"/>
  <c r="AO53" i="1"/>
  <c r="AO51" i="1"/>
  <c r="AO50" i="1"/>
  <c r="AO48" i="1"/>
  <c r="AO39" i="1"/>
  <c r="AQ46" i="1"/>
  <c r="AO32" i="1"/>
  <c r="AQ35" i="1"/>
  <c r="AO18" i="1"/>
  <c r="AO17" i="1"/>
  <c r="AO40" i="1"/>
  <c r="AO37" i="1"/>
  <c r="AO52" i="1"/>
  <c r="AO42" i="1"/>
  <c r="AO30" i="1"/>
  <c r="AO44" i="1"/>
  <c r="AR35" i="1"/>
  <c r="AO19" i="1"/>
  <c r="AD24" i="1"/>
  <c r="AF15" i="1"/>
  <c r="AF24" i="1" s="1"/>
  <c r="AE39" i="1"/>
  <c r="AF39" i="1"/>
  <c r="AF37" i="1"/>
  <c r="AF46" i="1" s="1"/>
  <c r="AD46" i="1"/>
  <c r="AE27" i="1"/>
  <c r="AF27" i="1"/>
  <c r="AF26" i="1"/>
  <c r="AF35" i="1" s="1"/>
  <c r="AD35" i="1"/>
  <c r="AF4" i="1"/>
  <c r="AF13" i="1" s="1"/>
  <c r="AD13" i="1"/>
  <c r="AE43" i="1"/>
  <c r="AE42" i="1"/>
  <c r="AE41" i="1"/>
  <c r="AE40" i="1"/>
  <c r="AE38" i="1"/>
  <c r="AH46" i="1"/>
  <c r="AG46" i="1"/>
  <c r="AE37" i="1"/>
  <c r="AE34" i="1"/>
  <c r="AE31" i="1"/>
  <c r="AE8" i="1"/>
  <c r="AE32" i="1"/>
  <c r="AH35" i="1"/>
  <c r="AG35" i="1"/>
  <c r="AE26" i="1"/>
  <c r="AE16" i="1"/>
  <c r="AE10" i="1"/>
  <c r="AE9" i="1"/>
  <c r="AE6" i="1"/>
  <c r="AE5" i="1"/>
  <c r="AH13" i="1"/>
  <c r="AG13" i="1"/>
  <c r="AE4" i="1"/>
  <c r="AE17" i="1"/>
  <c r="AE44" i="1"/>
  <c r="AE11" i="1"/>
  <c r="AE52" i="1"/>
  <c r="AE51" i="1"/>
  <c r="AE49" i="1"/>
  <c r="AE7" i="1"/>
  <c r="AE33" i="1"/>
  <c r="AE22" i="1"/>
  <c r="AE21" i="1"/>
  <c r="AE20" i="1"/>
  <c r="AE54" i="1"/>
  <c r="AE50" i="1"/>
  <c r="AE48" i="1"/>
  <c r="AE29" i="1"/>
  <c r="AH24" i="1"/>
  <c r="AE45" i="1"/>
  <c r="AE30" i="1"/>
  <c r="AE19" i="1"/>
  <c r="AE18" i="1"/>
  <c r="AH57" i="1"/>
  <c r="AG57" i="1"/>
  <c r="AD57" i="1"/>
  <c r="AE56" i="1"/>
  <c r="AE55" i="1"/>
  <c r="AE53" i="1"/>
  <c r="V37" i="1"/>
  <c r="V46" i="1" s="1"/>
  <c r="T46" i="1"/>
  <c r="V15" i="1"/>
  <c r="V24" i="1" s="1"/>
  <c r="T24" i="1"/>
  <c r="V26" i="1"/>
  <c r="T35" i="1"/>
  <c r="V4" i="1"/>
  <c r="V13" i="1" s="1"/>
  <c r="T13" i="1"/>
  <c r="U56" i="1"/>
  <c r="U53" i="1"/>
  <c r="U48" i="1"/>
  <c r="U45" i="1"/>
  <c r="U41" i="1"/>
  <c r="U50" i="1"/>
  <c r="U19" i="1"/>
  <c r="U18" i="1"/>
  <c r="U34" i="1"/>
  <c r="U32" i="1"/>
  <c r="U29" i="1"/>
  <c r="U28" i="1"/>
  <c r="X35" i="1"/>
  <c r="W35" i="1"/>
  <c r="U26" i="1"/>
  <c r="U22" i="1"/>
  <c r="U21" i="1"/>
  <c r="U20" i="1"/>
  <c r="X24" i="1"/>
  <c r="W24" i="1"/>
  <c r="U15" i="1"/>
  <c r="U9" i="1"/>
  <c r="U7" i="1"/>
  <c r="U11" i="1"/>
  <c r="U10" i="1"/>
  <c r="U6" i="1"/>
  <c r="U5" i="1"/>
  <c r="X13" i="1"/>
  <c r="W13" i="1"/>
  <c r="U4" i="1"/>
  <c r="U39" i="1"/>
  <c r="U44" i="1"/>
  <c r="X57" i="1"/>
  <c r="W57" i="1"/>
  <c r="U55" i="1"/>
  <c r="U54" i="1"/>
  <c r="U52" i="1"/>
  <c r="U38" i="1"/>
  <c r="W46" i="1"/>
  <c r="U17" i="1"/>
  <c r="U49" i="1"/>
  <c r="U40" i="1"/>
  <c r="U31" i="1"/>
  <c r="U30" i="1"/>
  <c r="U16" i="1"/>
  <c r="U42" i="1"/>
  <c r="U33" i="1"/>
  <c r="K48" i="1"/>
  <c r="N57" i="1"/>
  <c r="M57" i="1"/>
  <c r="K56" i="1"/>
  <c r="K55" i="1"/>
  <c r="K52" i="1"/>
  <c r="K51" i="1"/>
  <c r="K49" i="1"/>
  <c r="K54" i="1"/>
  <c r="K53" i="1"/>
  <c r="N46" i="1"/>
  <c r="M46" i="1"/>
  <c r="K45" i="1"/>
  <c r="K44" i="1"/>
  <c r="K39" i="1"/>
  <c r="K38" i="1"/>
  <c r="K37" i="1"/>
  <c r="K43" i="1"/>
  <c r="K42" i="1"/>
  <c r="K41" i="1"/>
  <c r="K40" i="1"/>
  <c r="K31" i="1"/>
  <c r="K26" i="1"/>
  <c r="K33" i="1"/>
  <c r="K29" i="1"/>
  <c r="K28" i="1"/>
  <c r="K30" i="1"/>
  <c r="N24" i="1"/>
  <c r="M24" i="1"/>
  <c r="K22" i="1"/>
  <c r="K21" i="1"/>
  <c r="K19" i="1"/>
  <c r="K17" i="1"/>
  <c r="K15" i="1"/>
  <c r="K18" i="1"/>
  <c r="K16" i="1"/>
  <c r="K10" i="1"/>
  <c r="K7" i="1"/>
  <c r="K8" i="1"/>
  <c r="J59" i="1"/>
  <c r="J46" i="1"/>
  <c r="L46" i="1"/>
  <c r="J35" i="1"/>
  <c r="L35" i="1"/>
  <c r="J24" i="1"/>
  <c r="L57" i="1"/>
  <c r="J57" i="1"/>
  <c r="N35" i="1"/>
  <c r="M35" i="1"/>
  <c r="N59" i="1"/>
  <c r="M59" i="1"/>
  <c r="BL59" i="1"/>
  <c r="BH59" i="1"/>
  <c r="BK59" i="1"/>
  <c r="BA59" i="1"/>
  <c r="BB59" i="1"/>
  <c r="AX59" i="1"/>
  <c r="AR59" i="1"/>
  <c r="AQ59" i="1"/>
  <c r="AN59" i="1"/>
  <c r="AH59" i="1"/>
  <c r="AG59" i="1"/>
  <c r="AD59" i="1"/>
  <c r="T57" i="1"/>
  <c r="T59" i="1"/>
  <c r="W59" i="1"/>
  <c r="X59" i="1"/>
  <c r="AZ57" i="1"/>
  <c r="AP57" i="1"/>
  <c r="AF57" i="1"/>
  <c r="J13" i="1"/>
  <c r="M13" i="1"/>
  <c r="K4" i="1"/>
  <c r="N13" i="1"/>
  <c r="AZ13" i="1" l="1"/>
  <c r="BJ24" i="1"/>
  <c r="V35" i="1"/>
  <c r="L24" i="1"/>
  <c r="AY13" i="1"/>
  <c r="AU13" i="1" s="1"/>
  <c r="AP35" i="1"/>
  <c r="U13" i="1"/>
  <c r="Q13" i="1" s="1"/>
  <c r="K35" i="1"/>
  <c r="G35" i="1" s="1"/>
  <c r="BI13" i="1"/>
  <c r="BE13" i="1" s="1"/>
  <c r="BI24" i="1"/>
  <c r="BI46" i="1"/>
  <c r="BE46" i="1" s="1"/>
  <c r="BJ57" i="1"/>
  <c r="BI57" i="1"/>
  <c r="BE57" i="1" s="1"/>
  <c r="BI35" i="1"/>
  <c r="BE35" i="1" s="1"/>
  <c r="AY46" i="1"/>
  <c r="AU46" i="1" s="1"/>
  <c r="AY24" i="1"/>
  <c r="AU24" i="1" s="1"/>
  <c r="AY35" i="1"/>
  <c r="AU35" i="1" s="1"/>
  <c r="AY57" i="1"/>
  <c r="AU57" i="1" s="1"/>
  <c r="AO46" i="1"/>
  <c r="AK46" i="1" s="1"/>
  <c r="AO57" i="1"/>
  <c r="AK57" i="1" s="1"/>
  <c r="AO13" i="1"/>
  <c r="AK13" i="1" s="1"/>
  <c r="AO35" i="1"/>
  <c r="AK35" i="1" s="1"/>
  <c r="AO24" i="1"/>
  <c r="AK24" i="1" s="1"/>
  <c r="AE57" i="1"/>
  <c r="AA57" i="1" s="1"/>
  <c r="AE46" i="1"/>
  <c r="AA46" i="1" s="1"/>
  <c r="AE35" i="1"/>
  <c r="AA35" i="1" s="1"/>
  <c r="AE24" i="1"/>
  <c r="AA24" i="1" s="1"/>
  <c r="AE13" i="1"/>
  <c r="AA13" i="1" s="1"/>
  <c r="U57" i="1"/>
  <c r="U46" i="1"/>
  <c r="Q46" i="1" s="1"/>
  <c r="U35" i="1"/>
  <c r="U24" i="1"/>
  <c r="Q24" i="1" s="1"/>
  <c r="K57" i="1"/>
  <c r="G57" i="1" s="1"/>
  <c r="K46" i="1"/>
  <c r="G46" i="1" s="1"/>
  <c r="K59" i="1"/>
  <c r="U59" i="1"/>
  <c r="AO59" i="1"/>
  <c r="AY59" i="1"/>
  <c r="K24" i="1"/>
  <c r="AE59" i="1"/>
  <c r="V57" i="1"/>
  <c r="K13" i="1"/>
  <c r="BI59" i="1"/>
  <c r="BJ59" i="1"/>
  <c r="BG60" i="1" s="1"/>
  <c r="AZ59" i="1"/>
  <c r="AW60" i="1" s="1"/>
  <c r="AP59" i="1"/>
  <c r="AM60" i="1" s="1"/>
  <c r="AF59" i="1"/>
  <c r="AC60" i="1" s="1"/>
  <c r="V59" i="1"/>
  <c r="S60" i="1" s="1"/>
  <c r="L13" i="1"/>
  <c r="L59" i="1"/>
  <c r="I60" i="1" s="1"/>
  <c r="BE24" i="1" l="1"/>
  <c r="G24" i="1"/>
  <c r="AU59" i="1"/>
  <c r="AK59" i="1"/>
  <c r="Q57" i="1"/>
  <c r="Q35" i="1"/>
  <c r="AA59" i="1"/>
  <c r="G13" i="1"/>
  <c r="Q59" i="1" l="1"/>
  <c r="BE59" i="1"/>
  <c r="G59" i="1"/>
</calcChain>
</file>

<file path=xl/sharedStrings.xml><?xml version="1.0" encoding="utf-8"?>
<sst xmlns="http://schemas.openxmlformats.org/spreadsheetml/2006/main" count="161" uniqueCount="36">
  <si>
    <t>Auxerre</t>
  </si>
  <si>
    <t>Rennes</t>
  </si>
  <si>
    <t>Lens</t>
  </si>
  <si>
    <t>Troyes</t>
  </si>
  <si>
    <t>Le Havre</t>
  </si>
  <si>
    <t>Strasbourg</t>
  </si>
  <si>
    <t>Lille</t>
  </si>
  <si>
    <t>Nice</t>
  </si>
  <si>
    <t>Lorient</t>
  </si>
  <si>
    <t>Paris FC</t>
  </si>
  <si>
    <t>Marseille</t>
  </si>
  <si>
    <t>Lyon</t>
  </si>
  <si>
    <t>Brest</t>
  </si>
  <si>
    <t>Toulouse</t>
  </si>
  <si>
    <t>PSG</t>
  </si>
  <si>
    <t>Angers</t>
  </si>
  <si>
    <t>Monaco</t>
  </si>
  <si>
    <t>Le Mans</t>
  </si>
  <si>
    <t>Journée 1</t>
  </si>
  <si>
    <t>Journée 2</t>
  </si>
  <si>
    <t>Journée 3</t>
  </si>
  <si>
    <t>Journée 4</t>
  </si>
  <si>
    <t>Journée 5</t>
  </si>
  <si>
    <t>Docdadi</t>
  </si>
  <si>
    <t>Steph</t>
  </si>
  <si>
    <t>bon</t>
  </si>
  <si>
    <t>écart</t>
  </si>
  <si>
    <t>b dom</t>
  </si>
  <si>
    <t>b ext</t>
  </si>
  <si>
    <t>ch</t>
  </si>
  <si>
    <t>exact</t>
  </si>
  <si>
    <t>mauvais</t>
  </si>
  <si>
    <t>Chet</t>
  </si>
  <si>
    <t>Hugo</t>
  </si>
  <si>
    <t>Dav</t>
  </si>
  <si>
    <t>doc69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</si>
</sst>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0" fontId="0" fillId="0" borderId="4" xfId="0" applyNumberFormat="1" applyBorder="1" applyAlignment="1">
      <alignment horizontal="centerContinuous"/>
    </xf>
    <xf numFmtId="10" fontId="0" fillId="0" borderId="6" xfId="0" applyNumberFormat="1" applyBorder="1" applyAlignment="1">
      <alignment horizontal="centerContinuous"/>
    </xf>
    <xf numFmtId="10" fontId="0" fillId="0" borderId="4" xfId="0" applyNumberFormat="1" applyBorder="1" applyAlignment="1">
      <alignment horizontal="centerContinuous" vertical="center"/>
    </xf>
    <xf numFmtId="10" fontId="0" fillId="0" borderId="6" xfId="0" applyNumberFormat="1" applyBorder="1" applyAlignment="1">
      <alignment horizontal="centerContinuous" vertical="center"/>
    </xf>
    <xf numFmtId="0" fontId="0" fillId="0" borderId="19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0" fontId="1" fillId="0" borderId="5" xfId="0" applyNumberFormat="1" applyFont="1" applyBorder="1" applyAlignment="1">
      <alignment horizontal="centerContinuous" vertic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0" fontId="1" fillId="0" borderId="5" xfId="0" applyNumberFormat="1" applyFont="1" applyBorder="1" applyAlignment="1">
      <alignment horizontal="centerContinuous"/>
    </xf>
    <xf numFmtId="0" fontId="1" fillId="0" borderId="0" xfId="0" applyFont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0" xfId="0" applyFont="1"/>
    <xf numFmtId="0" fontId="0" fillId="0" borderId="33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1040-EB1D-45C6-A861-D8E5E6DA2D7D}">
  <dimension ref="B1:BM60"/>
  <sheetViews>
    <sheetView showGridLines="0" tabSelected="1" zoomScale="55" zoomScaleNormal="55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.6" x14ac:dyDescent="0.3"/>
  <cols>
    <col min="2" max="2" width="11.44140625" style="4"/>
    <col min="3" max="4" width="11.44140625" style="35"/>
    <col min="5" max="5" width="11.44140625" style="4"/>
    <col min="6" max="6" width="5.5546875" customWidth="1"/>
    <col min="7" max="8" width="5.6640625" style="35" customWidth="1"/>
    <col min="9" max="15" width="5.109375" style="4" customWidth="1"/>
    <col min="16" max="16" width="3" customWidth="1"/>
    <col min="17" max="18" width="5.6640625" style="35" customWidth="1"/>
    <col min="19" max="25" width="5.109375" style="4" customWidth="1"/>
    <col min="26" max="26" width="3" customWidth="1"/>
    <col min="27" max="28" width="5.6640625" style="35" customWidth="1"/>
    <col min="29" max="35" width="5.109375" style="4" customWidth="1"/>
    <col min="36" max="36" width="3" customWidth="1"/>
    <col min="37" max="38" width="5.6640625" style="35" customWidth="1"/>
    <col min="39" max="45" width="5.109375" style="4" customWidth="1"/>
    <col min="46" max="46" width="3" customWidth="1"/>
    <col min="47" max="48" width="5.6640625" style="35" customWidth="1"/>
    <col min="49" max="55" width="5.109375" style="4" customWidth="1"/>
    <col min="56" max="56" width="3" customWidth="1"/>
    <col min="57" max="58" width="5.6640625" style="35" customWidth="1"/>
    <col min="59" max="65" width="5.109375" style="4" customWidth="1"/>
    <col min="66" max="66" width="3" customWidth="1"/>
  </cols>
  <sheetData>
    <row r="1" spans="2:65" s="48" customFormat="1" ht="21.6" thickBot="1" x14ac:dyDescent="0.45">
      <c r="B1" s="46"/>
      <c r="C1" s="46"/>
      <c r="D1" s="46"/>
      <c r="E1" s="46"/>
      <c r="G1" s="61" t="s">
        <v>23</v>
      </c>
      <c r="H1" s="62"/>
      <c r="I1" s="63"/>
      <c r="J1" s="63"/>
      <c r="K1" s="63"/>
      <c r="L1" s="63"/>
      <c r="M1" s="63"/>
      <c r="N1" s="63"/>
      <c r="O1" s="64"/>
      <c r="Q1" s="61" t="s">
        <v>24</v>
      </c>
      <c r="R1" s="62"/>
      <c r="S1" s="63"/>
      <c r="T1" s="63"/>
      <c r="U1" s="63"/>
      <c r="V1" s="63"/>
      <c r="W1" s="63"/>
      <c r="X1" s="63"/>
      <c r="Y1" s="64"/>
      <c r="AA1" s="61" t="s">
        <v>32</v>
      </c>
      <c r="AB1" s="62"/>
      <c r="AC1" s="63"/>
      <c r="AD1" s="63"/>
      <c r="AE1" s="63"/>
      <c r="AF1" s="63"/>
      <c r="AG1" s="63"/>
      <c r="AH1" s="63"/>
      <c r="AI1" s="64"/>
      <c r="AK1" s="61" t="s">
        <v>33</v>
      </c>
      <c r="AL1" s="62"/>
      <c r="AM1" s="63"/>
      <c r="AN1" s="63"/>
      <c r="AO1" s="63"/>
      <c r="AP1" s="63"/>
      <c r="AQ1" s="63"/>
      <c r="AR1" s="63"/>
      <c r="AS1" s="64"/>
      <c r="AU1" s="61" t="s">
        <v>34</v>
      </c>
      <c r="AV1" s="62"/>
      <c r="AW1" s="63"/>
      <c r="AX1" s="63"/>
      <c r="AY1" s="63"/>
      <c r="AZ1" s="63"/>
      <c r="BA1" s="63"/>
      <c r="BB1" s="63"/>
      <c r="BC1" s="64"/>
      <c r="BE1" s="61" t="s">
        <v>35</v>
      </c>
      <c r="BF1" s="62"/>
      <c r="BG1" s="63"/>
      <c r="BH1" s="63"/>
      <c r="BI1" s="63"/>
      <c r="BJ1" s="63"/>
      <c r="BK1" s="63"/>
      <c r="BL1" s="63"/>
      <c r="BM1" s="64"/>
    </row>
    <row r="2" spans="2:65" s="48" customFormat="1" ht="21.6" thickBot="1" x14ac:dyDescent="0.45">
      <c r="B2" s="46"/>
      <c r="C2" s="46"/>
      <c r="D2" s="46"/>
      <c r="E2" s="46"/>
      <c r="G2" s="50"/>
      <c r="H2" s="51"/>
      <c r="I2" s="52">
        <v>10</v>
      </c>
      <c r="J2" s="52">
        <v>2</v>
      </c>
      <c r="K2" s="52"/>
      <c r="L2" s="52">
        <v>1</v>
      </c>
      <c r="M2" s="52">
        <v>1</v>
      </c>
      <c r="N2" s="52">
        <v>1</v>
      </c>
      <c r="O2" s="53">
        <v>2</v>
      </c>
      <c r="Q2" s="50"/>
      <c r="R2" s="51"/>
      <c r="S2" s="52"/>
      <c r="T2" s="52"/>
      <c r="U2" s="52"/>
      <c r="V2" s="52"/>
      <c r="W2" s="52"/>
      <c r="X2" s="52"/>
      <c r="Y2" s="53"/>
      <c r="AA2" s="50"/>
      <c r="AB2" s="51"/>
      <c r="AC2" s="52"/>
      <c r="AD2" s="52"/>
      <c r="AE2" s="52"/>
      <c r="AF2" s="52"/>
      <c r="AG2" s="52"/>
      <c r="AH2" s="52"/>
      <c r="AI2" s="53"/>
      <c r="AK2" s="50"/>
      <c r="AL2" s="51"/>
      <c r="AM2" s="52"/>
      <c r="AN2" s="52"/>
      <c r="AO2" s="52"/>
      <c r="AP2" s="52"/>
      <c r="AQ2" s="52"/>
      <c r="AR2" s="52"/>
      <c r="AS2" s="53"/>
      <c r="AU2" s="50"/>
      <c r="AV2" s="51"/>
      <c r="AW2" s="52"/>
      <c r="AX2" s="52"/>
      <c r="AY2" s="52"/>
      <c r="AZ2" s="52"/>
      <c r="BA2" s="52"/>
      <c r="BB2" s="52"/>
      <c r="BC2" s="53"/>
      <c r="BE2" s="50"/>
      <c r="BF2" s="51"/>
      <c r="BG2" s="52"/>
      <c r="BH2" s="52"/>
      <c r="BI2" s="52"/>
      <c r="BJ2" s="52"/>
      <c r="BK2" s="52"/>
      <c r="BL2" s="52"/>
      <c r="BM2" s="53"/>
    </row>
    <row r="3" spans="2:65" ht="42" thickBot="1" x14ac:dyDescent="0.35">
      <c r="B3" s="17" t="s">
        <v>18</v>
      </c>
      <c r="C3" s="37"/>
      <c r="D3" s="37"/>
      <c r="E3" s="18"/>
      <c r="G3" s="27"/>
      <c r="H3" s="28"/>
      <c r="I3" s="19" t="s">
        <v>30</v>
      </c>
      <c r="J3" s="20" t="s">
        <v>25</v>
      </c>
      <c r="K3" s="20" t="s">
        <v>31</v>
      </c>
      <c r="L3" s="20" t="s">
        <v>26</v>
      </c>
      <c r="M3" s="20" t="s">
        <v>27</v>
      </c>
      <c r="N3" s="20" t="s">
        <v>28</v>
      </c>
      <c r="O3" s="21" t="s">
        <v>29</v>
      </c>
      <c r="Q3" s="27"/>
      <c r="R3" s="28"/>
      <c r="S3" s="19" t="s">
        <v>30</v>
      </c>
      <c r="T3" s="20" t="s">
        <v>25</v>
      </c>
      <c r="U3" s="20" t="s">
        <v>31</v>
      </c>
      <c r="V3" s="20" t="s">
        <v>26</v>
      </c>
      <c r="W3" s="20" t="s">
        <v>27</v>
      </c>
      <c r="X3" s="20" t="s">
        <v>28</v>
      </c>
      <c r="Y3" s="21" t="s">
        <v>29</v>
      </c>
      <c r="AA3" s="27"/>
      <c r="AB3" s="28"/>
      <c r="AC3" s="19" t="s">
        <v>30</v>
      </c>
      <c r="AD3" s="20" t="s">
        <v>25</v>
      </c>
      <c r="AE3" s="20" t="s">
        <v>31</v>
      </c>
      <c r="AF3" s="20" t="s">
        <v>26</v>
      </c>
      <c r="AG3" s="20" t="s">
        <v>27</v>
      </c>
      <c r="AH3" s="20" t="s">
        <v>28</v>
      </c>
      <c r="AI3" s="21" t="s">
        <v>29</v>
      </c>
      <c r="AK3" s="27"/>
      <c r="AL3" s="28"/>
      <c r="AM3" s="19" t="s">
        <v>30</v>
      </c>
      <c r="AN3" s="20" t="s">
        <v>25</v>
      </c>
      <c r="AO3" s="20" t="s">
        <v>31</v>
      </c>
      <c r="AP3" s="20" t="s">
        <v>26</v>
      </c>
      <c r="AQ3" s="20" t="s">
        <v>27</v>
      </c>
      <c r="AR3" s="20" t="s">
        <v>28</v>
      </c>
      <c r="AS3" s="21" t="s">
        <v>29</v>
      </c>
      <c r="AU3" s="27"/>
      <c r="AV3" s="28"/>
      <c r="AW3" s="19" t="s">
        <v>30</v>
      </c>
      <c r="AX3" s="20" t="s">
        <v>25</v>
      </c>
      <c r="AY3" s="20" t="s">
        <v>31</v>
      </c>
      <c r="AZ3" s="20" t="s">
        <v>26</v>
      </c>
      <c r="BA3" s="20" t="s">
        <v>27</v>
      </c>
      <c r="BB3" s="20" t="s">
        <v>28</v>
      </c>
      <c r="BC3" s="21" t="s">
        <v>29</v>
      </c>
      <c r="BE3" s="27"/>
      <c r="BF3" s="28"/>
      <c r="BG3" s="19" t="s">
        <v>30</v>
      </c>
      <c r="BH3" s="20" t="s">
        <v>25</v>
      </c>
      <c r="BI3" s="20" t="s">
        <v>31</v>
      </c>
      <c r="BJ3" s="20" t="s">
        <v>26</v>
      </c>
      <c r="BK3" s="20" t="s">
        <v>27</v>
      </c>
      <c r="BL3" s="20" t="s">
        <v>28</v>
      </c>
      <c r="BM3" s="21" t="s">
        <v>29</v>
      </c>
    </row>
    <row r="4" spans="2:65" x14ac:dyDescent="0.3">
      <c r="B4" s="7" t="s">
        <v>2</v>
      </c>
      <c r="C4" s="38">
        <v>2</v>
      </c>
      <c r="D4" s="38">
        <v>3</v>
      </c>
      <c r="E4" s="9" t="s">
        <v>0</v>
      </c>
      <c r="G4" s="29">
        <v>0</v>
      </c>
      <c r="H4" s="30">
        <v>3</v>
      </c>
      <c r="I4" s="22">
        <f>IF(AND(G4=$C4,H4=$D4),$I$2,0)</f>
        <v>0</v>
      </c>
      <c r="J4" s="54">
        <f>IF(AND(I4&amp;""="0",SIGN(G4-H4)=SIGN($C4-$D4)),$J$2,"0")</f>
        <v>2</v>
      </c>
      <c r="K4" s="8" t="str">
        <f>IF(AND(I4&amp;""="0",J4&amp;""="0"),"x","o")</f>
        <v>o</v>
      </c>
      <c r="L4" s="8" t="str">
        <f>IF(AND(J4=2,($C4-$D4)=(G4-H4)),$L$2,"x")</f>
        <v>x</v>
      </c>
      <c r="M4" s="8" t="str">
        <f>IF(AND(I4&amp;""="0",G4=$C4),$M$2,"x")</f>
        <v>x</v>
      </c>
      <c r="N4" s="54">
        <f>IF(AND(I4&amp;""="0",H4=$D4),$N$2,"x")</f>
        <v>1</v>
      </c>
      <c r="O4" s="9"/>
      <c r="Q4" s="29">
        <v>3</v>
      </c>
      <c r="R4" s="30">
        <v>3</v>
      </c>
      <c r="S4" s="22">
        <f>IF(AND(Q4=$C4,R4=$D4),$I$2,0)</f>
        <v>0</v>
      </c>
      <c r="T4" s="54" t="str">
        <f>IF(AND(S4&amp;""="0",SIGN(Q4-R4)=SIGN($C4-$D4)),$J$2,"0")</f>
        <v>0</v>
      </c>
      <c r="U4" s="8" t="str">
        <f>IF(AND(S4&amp;""="0",T4&amp;""="0"),"x","o")</f>
        <v>x</v>
      </c>
      <c r="V4" s="8" t="str">
        <f>IF(AND(T4=2,($C4-$D4)=(Q4-R4)),$L$2,"x")</f>
        <v>x</v>
      </c>
      <c r="W4" s="8" t="str">
        <f>IF(AND(S4&amp;""="0",Q4=$C4),$M$2,"x")</f>
        <v>x</v>
      </c>
      <c r="X4" s="54">
        <f>IF(AND(S4&amp;""="0",R4=$D4),$N$2,"x")</f>
        <v>1</v>
      </c>
      <c r="Y4" s="9"/>
      <c r="AA4" s="29">
        <v>2</v>
      </c>
      <c r="AB4" s="30">
        <v>1</v>
      </c>
      <c r="AC4" s="22">
        <f>IF(AND(AA4=$C4,AB4=$D4),$I$2,0)</f>
        <v>0</v>
      </c>
      <c r="AD4" s="54" t="str">
        <f>IF(AND(AC4&amp;""="0",SIGN(AA4-AB4)=SIGN($C4-$D4)),$J$2,"0")</f>
        <v>0</v>
      </c>
      <c r="AE4" s="8" t="str">
        <f>IF(AND(AC4&amp;""="0",AD4&amp;""="0"),"x","o")</f>
        <v>x</v>
      </c>
      <c r="AF4" s="8" t="str">
        <f>IF(AND(AD4=2,($C4-$D4)=(AA4-AB4)),$L$2,"x")</f>
        <v>x</v>
      </c>
      <c r="AG4" s="8">
        <f>IF(AND(AC4&amp;""="0",AA4=$C4),$M$2,"x")</f>
        <v>1</v>
      </c>
      <c r="AH4" s="54" t="str">
        <f>IF(AND(AC4&amp;""="0",AB4=$D4),$N$2,"x")</f>
        <v>x</v>
      </c>
      <c r="AI4" s="9"/>
      <c r="AK4" s="29">
        <v>1</v>
      </c>
      <c r="AL4" s="30">
        <v>1</v>
      </c>
      <c r="AM4" s="22">
        <f>IF(AND(AK4=$C4,AL4=$D4),$I$2,0)</f>
        <v>0</v>
      </c>
      <c r="AN4" s="54" t="str">
        <f>IF(AND(AM4&amp;""="0",SIGN(AK4-AL4)=SIGN($C4-$D4)),$J$2,"0")</f>
        <v>0</v>
      </c>
      <c r="AO4" s="8" t="str">
        <f>IF(AND(AM4&amp;""="0",AN4&amp;""="0"),"x","o")</f>
        <v>x</v>
      </c>
      <c r="AP4" s="8" t="str">
        <f>IF(AND(AN4=2,($C4-$D4)=(AK4-AL4)),$L$2,"x")</f>
        <v>x</v>
      </c>
      <c r="AQ4" s="8" t="str">
        <f>IF(AND(AM4&amp;""="0",AK4=$C4),$M$2,"x")</f>
        <v>x</v>
      </c>
      <c r="AR4" s="54" t="str">
        <f>IF(AND(AM4&amp;""="0",AL4=$D4),$N$2,"x")</f>
        <v>x</v>
      </c>
      <c r="AS4" s="9"/>
      <c r="AU4" s="29">
        <v>2</v>
      </c>
      <c r="AV4" s="30">
        <v>2</v>
      </c>
      <c r="AW4" s="22">
        <f>IF(AND(AU4=$C4,AV4=$D4),$I$2,0)</f>
        <v>0</v>
      </c>
      <c r="AX4" s="54" t="str">
        <f>IF(AND(AW4&amp;""="0",SIGN(AU4-AV4)=SIGN($C4-$D4)),$J$2,"0")</f>
        <v>0</v>
      </c>
      <c r="AY4" s="8" t="str">
        <f>IF(AND(AW4&amp;""="0",AX4&amp;""="0"),"x","o")</f>
        <v>x</v>
      </c>
      <c r="AZ4" s="8" t="str">
        <f>IF(AND(AX4=2,($C4-$D4)=(AU4-AV4)),$L$2,"x")</f>
        <v>x</v>
      </c>
      <c r="BA4" s="8">
        <f>IF(AND(AW4&amp;""="0",AU4=$C4),$M$2,"x")</f>
        <v>1</v>
      </c>
      <c r="BB4" s="54" t="str">
        <f>IF(AND(AW4&amp;""="0",AV4=$D4),$N$2,"x")</f>
        <v>x</v>
      </c>
      <c r="BC4" s="9"/>
      <c r="BE4" s="29">
        <v>1</v>
      </c>
      <c r="BF4" s="30">
        <v>2</v>
      </c>
      <c r="BG4" s="22">
        <f>IF(AND(BE4=$C4,BF4=$D4),$I$2,0)</f>
        <v>0</v>
      </c>
      <c r="BH4" s="54">
        <f>IF(AND(BG4&amp;""="0",SIGN(BE4-BF4)=SIGN($C4-$D4)),$J$2,"0")</f>
        <v>2</v>
      </c>
      <c r="BI4" s="8" t="str">
        <f>IF(AND(BG4&amp;""="0",BH4&amp;""="0"),"x","o")</f>
        <v>o</v>
      </c>
      <c r="BJ4" s="8">
        <f>IF(AND(BH4=2,($C4-$D4)=(BE4-BF4)),$L$2,"x")</f>
        <v>1</v>
      </c>
      <c r="BK4" s="8" t="str">
        <f>IF(AND(BG4&amp;""="0",BE4=$C4),$M$2,"x")</f>
        <v>x</v>
      </c>
      <c r="BL4" s="54" t="str">
        <f>IF(AND(BG4&amp;""="0",BF4=$D4),$N$2,"x")</f>
        <v>x</v>
      </c>
      <c r="BM4" s="9"/>
    </row>
    <row r="5" spans="2:65" x14ac:dyDescent="0.3">
      <c r="B5" s="10" t="s">
        <v>3</v>
      </c>
      <c r="C5" s="39">
        <v>2</v>
      </c>
      <c r="D5" s="39">
        <v>3</v>
      </c>
      <c r="E5" s="11" t="s">
        <v>9</v>
      </c>
      <c r="G5" s="31">
        <v>1</v>
      </c>
      <c r="H5" s="32">
        <v>0</v>
      </c>
      <c r="I5" s="23">
        <f t="shared" ref="I5:I11" si="0">IF(AND(G5=$C5,H5=$D5),$I$2,0)</f>
        <v>0</v>
      </c>
      <c r="J5" s="6" t="str">
        <f t="shared" ref="J5:J11" si="1">IF(AND(I5&amp;""="0",SIGN(G5-H5)=SIGN($C5-$D5)),$J$2,"0")</f>
        <v>0</v>
      </c>
      <c r="K5" s="6" t="str">
        <f t="shared" ref="K5:K11" si="2">IF(AND(I5&amp;""="0",J5&amp;""="0"),"x","o")</f>
        <v>x</v>
      </c>
      <c r="L5" s="6" t="str">
        <f t="shared" ref="L5:L11" si="3">IF(AND(J5=2,($C5-$D5)=(G5-H5)),$L$2,"x")</f>
        <v>x</v>
      </c>
      <c r="M5" s="6" t="str">
        <f t="shared" ref="M5:M11" si="4">IF(AND(I5&amp;""="0",G5=$C5),$M$2,"x")</f>
        <v>x</v>
      </c>
      <c r="N5" s="6" t="str">
        <f t="shared" ref="N5:N11" si="5">IF(AND(I5&amp;""="0",H5=$D5),$N$2,"x")</f>
        <v>x</v>
      </c>
      <c r="O5" s="11"/>
      <c r="Q5" s="31">
        <v>2</v>
      </c>
      <c r="R5" s="32">
        <v>2</v>
      </c>
      <c r="S5" s="23">
        <f t="shared" ref="S5:S11" si="6">IF(AND(Q5=$C5,R5=$D5),$I$2,0)</f>
        <v>0</v>
      </c>
      <c r="T5" s="6" t="str">
        <f t="shared" ref="T5:T11" si="7">IF(AND(S5&amp;""="0",SIGN(Q5-R5)=SIGN($C5-$D5)),$J$2,"0")</f>
        <v>0</v>
      </c>
      <c r="U5" s="6" t="str">
        <f t="shared" ref="U5:U11" si="8">IF(AND(S5&amp;""="0",T5&amp;""="0"),"x","o")</f>
        <v>x</v>
      </c>
      <c r="V5" s="6" t="str">
        <f t="shared" ref="V5:V11" si="9">IF(AND(T5=2,($C5-$D5)=(Q5-R5)),$L$2,"x")</f>
        <v>x</v>
      </c>
      <c r="W5" s="6">
        <f t="shared" ref="W5:W11" si="10">IF(AND(S5&amp;""="0",Q5=$C5),$M$2,"x")</f>
        <v>1</v>
      </c>
      <c r="X5" s="6" t="str">
        <f t="shared" ref="X5:X11" si="11">IF(AND(S5&amp;""="0",R5=$D5),$N$2,"x")</f>
        <v>x</v>
      </c>
      <c r="Y5" s="11"/>
      <c r="AA5" s="31">
        <v>2</v>
      </c>
      <c r="AB5" s="32">
        <v>1</v>
      </c>
      <c r="AC5" s="23">
        <f t="shared" ref="AC5:AC11" si="12">IF(AND(AA5=$C5,AB5=$D5),$I$2,0)</f>
        <v>0</v>
      </c>
      <c r="AD5" s="6" t="str">
        <f t="shared" ref="AD5:AD11" si="13">IF(AND(AC5&amp;""="0",SIGN(AA5-AB5)=SIGN($C5-$D5)),$J$2,"0")</f>
        <v>0</v>
      </c>
      <c r="AE5" s="6" t="str">
        <f t="shared" ref="AE5:AE11" si="14">IF(AND(AC5&amp;""="0",AD5&amp;""="0"),"x","o")</f>
        <v>x</v>
      </c>
      <c r="AF5" s="6" t="str">
        <f t="shared" ref="AF5:AF11" si="15">IF(AND(AD5=2,($C5-$D5)=(AA5-AB5)),$L$2,"x")</f>
        <v>x</v>
      </c>
      <c r="AG5" s="6">
        <f t="shared" ref="AG5:AG11" si="16">IF(AND(AC5&amp;""="0",AA5=$C5),$M$2,"x")</f>
        <v>1</v>
      </c>
      <c r="AH5" s="6" t="str">
        <f t="shared" ref="AH5:AH11" si="17">IF(AND(AC5&amp;""="0",AB5=$D5),$N$2,"x")</f>
        <v>x</v>
      </c>
      <c r="AI5" s="11"/>
      <c r="AK5" s="31">
        <v>1</v>
      </c>
      <c r="AL5" s="32">
        <v>1</v>
      </c>
      <c r="AM5" s="23">
        <f t="shared" ref="AM5:AM11" si="18">IF(AND(AK5=$C5,AL5=$D5),$I$2,0)</f>
        <v>0</v>
      </c>
      <c r="AN5" s="6" t="str">
        <f t="shared" ref="AN5:AN11" si="19">IF(AND(AM5&amp;""="0",SIGN(AK5-AL5)=SIGN($C5-$D5)),$J$2,"0")</f>
        <v>0</v>
      </c>
      <c r="AO5" s="6" t="str">
        <f t="shared" ref="AO5:AO11" si="20">IF(AND(AM5&amp;""="0",AN5&amp;""="0"),"x","o")</f>
        <v>x</v>
      </c>
      <c r="AP5" s="6" t="str">
        <f t="shared" ref="AP5:AP11" si="21">IF(AND(AN5=2,($C5-$D5)=(AK5-AL5)),$L$2,"x")</f>
        <v>x</v>
      </c>
      <c r="AQ5" s="6" t="str">
        <f t="shared" ref="AQ5:AQ11" si="22">IF(AND(AM5&amp;""="0",AK5=$C5),$M$2,"x")</f>
        <v>x</v>
      </c>
      <c r="AR5" s="6" t="str">
        <f t="shared" ref="AR5:AR11" si="23">IF(AND(AM5&amp;""="0",AL5=$D5),$N$2,"x")</f>
        <v>x</v>
      </c>
      <c r="AS5" s="11"/>
      <c r="AU5" s="31">
        <v>3</v>
      </c>
      <c r="AV5" s="32">
        <v>2</v>
      </c>
      <c r="AW5" s="23">
        <f t="shared" ref="AW5:AW11" si="24">IF(AND(AU5=$C5,AV5=$D5),$I$2,0)</f>
        <v>0</v>
      </c>
      <c r="AX5" s="6" t="str">
        <f t="shared" ref="AX5:AX11" si="25">IF(AND(AW5&amp;""="0",SIGN(AU5-AV5)=SIGN($C5-$D5)),$J$2,"0")</f>
        <v>0</v>
      </c>
      <c r="AY5" s="6" t="str">
        <f t="shared" ref="AY5:AY11" si="26">IF(AND(AW5&amp;""="0",AX5&amp;""="0"),"x","o")</f>
        <v>x</v>
      </c>
      <c r="AZ5" s="6" t="str">
        <f t="shared" ref="AZ5:AZ11" si="27">IF(AND(AX5=2,($C5-$D5)=(AU5-AV5)),$L$2,"x")</f>
        <v>x</v>
      </c>
      <c r="BA5" s="6" t="str">
        <f t="shared" ref="BA5:BA11" si="28">IF(AND(AW5&amp;""="0",AU5=$C5),$M$2,"x")</f>
        <v>x</v>
      </c>
      <c r="BB5" s="6" t="str">
        <f t="shared" ref="BB5:BB11" si="29">IF(AND(AW5&amp;""="0",AV5=$D5),$N$2,"x")</f>
        <v>x</v>
      </c>
      <c r="BC5" s="11"/>
      <c r="BE5" s="31">
        <v>2</v>
      </c>
      <c r="BF5" s="32">
        <v>0</v>
      </c>
      <c r="BG5" s="23">
        <f t="shared" ref="BG5:BG11" si="30">IF(AND(BE5=$C5,BF5=$D5),$I$2,0)</f>
        <v>0</v>
      </c>
      <c r="BH5" s="6" t="str">
        <f t="shared" ref="BH5:BH11" si="31">IF(AND(BG5&amp;""="0",SIGN(BE5-BF5)=SIGN($C5-$D5)),$J$2,"0")</f>
        <v>0</v>
      </c>
      <c r="BI5" s="6" t="str">
        <f t="shared" ref="BI5:BI11" si="32">IF(AND(BG5&amp;""="0",BH5&amp;""="0"),"x","o")</f>
        <v>x</v>
      </c>
      <c r="BJ5" s="6" t="str">
        <f t="shared" ref="BJ5:BJ11" si="33">IF(AND(BH5=2,($C5-$D5)=(BE5-BF5)),$L$2,"x")</f>
        <v>x</v>
      </c>
      <c r="BK5" s="6">
        <f t="shared" ref="BK5:BK11" si="34">IF(AND(BG5&amp;""="0",BE5=$C5),$M$2,"x")</f>
        <v>1</v>
      </c>
      <c r="BL5" s="6" t="str">
        <f t="shared" ref="BL5:BL11" si="35">IF(AND(BG5&amp;""="0",BF5=$D5),$N$2,"x")</f>
        <v>x</v>
      </c>
      <c r="BM5" s="11"/>
    </row>
    <row r="6" spans="2:65" x14ac:dyDescent="0.3">
      <c r="B6" s="10" t="s">
        <v>7</v>
      </c>
      <c r="C6" s="39">
        <v>2</v>
      </c>
      <c r="D6" s="39">
        <v>1</v>
      </c>
      <c r="E6" s="11" t="s">
        <v>8</v>
      </c>
      <c r="G6" s="31">
        <v>3</v>
      </c>
      <c r="H6" s="32">
        <v>0</v>
      </c>
      <c r="I6" s="23">
        <f t="shared" si="0"/>
        <v>0</v>
      </c>
      <c r="J6" s="55">
        <f t="shared" si="1"/>
        <v>2</v>
      </c>
      <c r="K6" s="6" t="str">
        <f t="shared" si="2"/>
        <v>o</v>
      </c>
      <c r="L6" s="6" t="str">
        <f t="shared" si="3"/>
        <v>x</v>
      </c>
      <c r="M6" s="6" t="str">
        <f t="shared" si="4"/>
        <v>x</v>
      </c>
      <c r="N6" s="6" t="str">
        <f t="shared" si="5"/>
        <v>x</v>
      </c>
      <c r="O6" s="11"/>
      <c r="Q6" s="31">
        <v>2</v>
      </c>
      <c r="R6" s="32">
        <v>2</v>
      </c>
      <c r="S6" s="23">
        <f t="shared" si="6"/>
        <v>0</v>
      </c>
      <c r="T6" s="55" t="str">
        <f t="shared" si="7"/>
        <v>0</v>
      </c>
      <c r="U6" s="6" t="str">
        <f t="shared" si="8"/>
        <v>x</v>
      </c>
      <c r="V6" s="6" t="str">
        <f t="shared" si="9"/>
        <v>x</v>
      </c>
      <c r="W6" s="6">
        <f t="shared" si="10"/>
        <v>1</v>
      </c>
      <c r="X6" s="6" t="str">
        <f t="shared" si="11"/>
        <v>x</v>
      </c>
      <c r="Y6" s="11"/>
      <c r="AA6" s="31">
        <v>3</v>
      </c>
      <c r="AB6" s="32">
        <v>3</v>
      </c>
      <c r="AC6" s="23">
        <f t="shared" si="12"/>
        <v>0</v>
      </c>
      <c r="AD6" s="55" t="str">
        <f t="shared" si="13"/>
        <v>0</v>
      </c>
      <c r="AE6" s="6" t="str">
        <f t="shared" si="14"/>
        <v>x</v>
      </c>
      <c r="AF6" s="6" t="str">
        <f t="shared" si="15"/>
        <v>x</v>
      </c>
      <c r="AG6" s="6" t="str">
        <f t="shared" si="16"/>
        <v>x</v>
      </c>
      <c r="AH6" s="6" t="str">
        <f t="shared" si="17"/>
        <v>x</v>
      </c>
      <c r="AI6" s="11"/>
      <c r="AK6" s="31">
        <v>0</v>
      </c>
      <c r="AL6" s="32">
        <v>1</v>
      </c>
      <c r="AM6" s="23">
        <f t="shared" si="18"/>
        <v>0</v>
      </c>
      <c r="AN6" s="55" t="str">
        <f t="shared" si="19"/>
        <v>0</v>
      </c>
      <c r="AO6" s="6" t="str">
        <f t="shared" si="20"/>
        <v>x</v>
      </c>
      <c r="AP6" s="6" t="str">
        <f t="shared" si="21"/>
        <v>x</v>
      </c>
      <c r="AQ6" s="6" t="str">
        <f t="shared" si="22"/>
        <v>x</v>
      </c>
      <c r="AR6" s="6">
        <f t="shared" si="23"/>
        <v>1</v>
      </c>
      <c r="AS6" s="11"/>
      <c r="AU6" s="31">
        <v>3</v>
      </c>
      <c r="AV6" s="32">
        <v>1</v>
      </c>
      <c r="AW6" s="23">
        <f t="shared" si="24"/>
        <v>0</v>
      </c>
      <c r="AX6" s="55">
        <f t="shared" si="25"/>
        <v>2</v>
      </c>
      <c r="AY6" s="6" t="str">
        <f t="shared" si="26"/>
        <v>o</v>
      </c>
      <c r="AZ6" s="6" t="str">
        <f t="shared" si="27"/>
        <v>x</v>
      </c>
      <c r="BA6" s="6" t="str">
        <f t="shared" si="28"/>
        <v>x</v>
      </c>
      <c r="BB6" s="6">
        <f t="shared" si="29"/>
        <v>1</v>
      </c>
      <c r="BC6" s="11"/>
      <c r="BE6" s="31">
        <v>3</v>
      </c>
      <c r="BF6" s="32">
        <v>3</v>
      </c>
      <c r="BG6" s="23">
        <f t="shared" si="30"/>
        <v>0</v>
      </c>
      <c r="BH6" s="55" t="str">
        <f t="shared" si="31"/>
        <v>0</v>
      </c>
      <c r="BI6" s="6" t="str">
        <f t="shared" si="32"/>
        <v>x</v>
      </c>
      <c r="BJ6" s="6" t="str">
        <f t="shared" si="33"/>
        <v>x</v>
      </c>
      <c r="BK6" s="6" t="str">
        <f t="shared" si="34"/>
        <v>x</v>
      </c>
      <c r="BL6" s="6" t="str">
        <f t="shared" si="35"/>
        <v>x</v>
      </c>
      <c r="BM6" s="11"/>
    </row>
    <row r="7" spans="2:65" x14ac:dyDescent="0.3">
      <c r="B7" s="10" t="s">
        <v>13</v>
      </c>
      <c r="C7" s="39">
        <v>2</v>
      </c>
      <c r="D7" s="39">
        <v>2</v>
      </c>
      <c r="E7" s="11" t="s">
        <v>11</v>
      </c>
      <c r="G7" s="31">
        <v>1</v>
      </c>
      <c r="H7" s="32">
        <v>3</v>
      </c>
      <c r="I7" s="23">
        <f t="shared" si="0"/>
        <v>0</v>
      </c>
      <c r="J7" s="6" t="str">
        <f t="shared" si="1"/>
        <v>0</v>
      </c>
      <c r="K7" s="6" t="str">
        <f t="shared" si="2"/>
        <v>x</v>
      </c>
      <c r="L7" s="6" t="str">
        <f t="shared" si="3"/>
        <v>x</v>
      </c>
      <c r="M7" s="6" t="str">
        <f t="shared" si="4"/>
        <v>x</v>
      </c>
      <c r="N7" s="6" t="str">
        <f t="shared" si="5"/>
        <v>x</v>
      </c>
      <c r="O7" s="11"/>
      <c r="Q7" s="31">
        <v>2</v>
      </c>
      <c r="R7" s="32">
        <v>2</v>
      </c>
      <c r="S7" s="23">
        <f t="shared" si="6"/>
        <v>10</v>
      </c>
      <c r="T7" s="6" t="str">
        <f t="shared" si="7"/>
        <v>0</v>
      </c>
      <c r="U7" s="6" t="str">
        <f t="shared" si="8"/>
        <v>o</v>
      </c>
      <c r="V7" s="6" t="str">
        <f t="shared" si="9"/>
        <v>x</v>
      </c>
      <c r="W7" s="6" t="str">
        <f t="shared" si="10"/>
        <v>x</v>
      </c>
      <c r="X7" s="6" t="str">
        <f t="shared" si="11"/>
        <v>x</v>
      </c>
      <c r="Y7" s="11"/>
      <c r="AA7" s="31">
        <v>2</v>
      </c>
      <c r="AB7" s="32">
        <v>3</v>
      </c>
      <c r="AC7" s="23">
        <f t="shared" si="12"/>
        <v>0</v>
      </c>
      <c r="AD7" s="6" t="str">
        <f t="shared" si="13"/>
        <v>0</v>
      </c>
      <c r="AE7" s="6" t="str">
        <f t="shared" si="14"/>
        <v>x</v>
      </c>
      <c r="AF7" s="6" t="str">
        <f t="shared" si="15"/>
        <v>x</v>
      </c>
      <c r="AG7" s="6">
        <f t="shared" si="16"/>
        <v>1</v>
      </c>
      <c r="AH7" s="6" t="str">
        <f t="shared" si="17"/>
        <v>x</v>
      </c>
      <c r="AI7" s="11"/>
      <c r="AK7" s="31">
        <v>2</v>
      </c>
      <c r="AL7" s="32">
        <v>2</v>
      </c>
      <c r="AM7" s="23">
        <f t="shared" si="18"/>
        <v>10</v>
      </c>
      <c r="AN7" s="6" t="str">
        <f t="shared" si="19"/>
        <v>0</v>
      </c>
      <c r="AO7" s="6" t="str">
        <f t="shared" si="20"/>
        <v>o</v>
      </c>
      <c r="AP7" s="6" t="str">
        <f t="shared" si="21"/>
        <v>x</v>
      </c>
      <c r="AQ7" s="6" t="str">
        <f t="shared" si="22"/>
        <v>x</v>
      </c>
      <c r="AR7" s="6" t="str">
        <f t="shared" si="23"/>
        <v>x</v>
      </c>
      <c r="AS7" s="11"/>
      <c r="AU7" s="31">
        <v>2</v>
      </c>
      <c r="AV7" s="32">
        <v>1</v>
      </c>
      <c r="AW7" s="23">
        <f t="shared" si="24"/>
        <v>0</v>
      </c>
      <c r="AX7" s="6" t="str">
        <f t="shared" si="25"/>
        <v>0</v>
      </c>
      <c r="AY7" s="6" t="str">
        <f t="shared" si="26"/>
        <v>x</v>
      </c>
      <c r="AZ7" s="6" t="str">
        <f t="shared" si="27"/>
        <v>x</v>
      </c>
      <c r="BA7" s="6">
        <f t="shared" si="28"/>
        <v>1</v>
      </c>
      <c r="BB7" s="6" t="str">
        <f t="shared" si="29"/>
        <v>x</v>
      </c>
      <c r="BC7" s="11"/>
      <c r="BE7" s="31">
        <v>1</v>
      </c>
      <c r="BF7" s="32">
        <v>3</v>
      </c>
      <c r="BG7" s="23">
        <f t="shared" si="30"/>
        <v>0</v>
      </c>
      <c r="BH7" s="6" t="str">
        <f t="shared" si="31"/>
        <v>0</v>
      </c>
      <c r="BI7" s="6" t="str">
        <f t="shared" si="32"/>
        <v>x</v>
      </c>
      <c r="BJ7" s="6" t="str">
        <f t="shared" si="33"/>
        <v>x</v>
      </c>
      <c r="BK7" s="6" t="str">
        <f t="shared" si="34"/>
        <v>x</v>
      </c>
      <c r="BL7" s="6" t="str">
        <f t="shared" si="35"/>
        <v>x</v>
      </c>
      <c r="BM7" s="11"/>
    </row>
    <row r="8" spans="2:65" x14ac:dyDescent="0.3">
      <c r="B8" s="10" t="s">
        <v>14</v>
      </c>
      <c r="C8" s="39">
        <v>0</v>
      </c>
      <c r="D8" s="39">
        <v>2</v>
      </c>
      <c r="E8" s="11" t="s">
        <v>1</v>
      </c>
      <c r="G8" s="31">
        <v>2</v>
      </c>
      <c r="H8" s="32">
        <v>1</v>
      </c>
      <c r="I8" s="23">
        <f t="shared" si="0"/>
        <v>0</v>
      </c>
      <c r="J8" s="6" t="str">
        <f t="shared" si="1"/>
        <v>0</v>
      </c>
      <c r="K8" s="6" t="str">
        <f t="shared" si="2"/>
        <v>x</v>
      </c>
      <c r="L8" s="6" t="str">
        <f t="shared" si="3"/>
        <v>x</v>
      </c>
      <c r="M8" s="6" t="str">
        <f t="shared" si="4"/>
        <v>x</v>
      </c>
      <c r="N8" s="6" t="str">
        <f t="shared" si="5"/>
        <v>x</v>
      </c>
      <c r="O8" s="11"/>
      <c r="Q8" s="31">
        <v>0</v>
      </c>
      <c r="R8" s="32">
        <v>0</v>
      </c>
      <c r="S8" s="23">
        <f t="shared" si="6"/>
        <v>0</v>
      </c>
      <c r="T8" s="6" t="str">
        <f t="shared" si="7"/>
        <v>0</v>
      </c>
      <c r="U8" s="6" t="str">
        <f t="shared" si="8"/>
        <v>x</v>
      </c>
      <c r="V8" s="6" t="str">
        <f t="shared" si="9"/>
        <v>x</v>
      </c>
      <c r="W8" s="6">
        <f t="shared" si="10"/>
        <v>1</v>
      </c>
      <c r="X8" s="6" t="str">
        <f t="shared" si="11"/>
        <v>x</v>
      </c>
      <c r="Y8" s="11"/>
      <c r="AA8" s="31">
        <v>0</v>
      </c>
      <c r="AB8" s="32">
        <v>0</v>
      </c>
      <c r="AC8" s="23">
        <f t="shared" si="12"/>
        <v>0</v>
      </c>
      <c r="AD8" s="6" t="str">
        <f t="shared" si="13"/>
        <v>0</v>
      </c>
      <c r="AE8" s="6" t="str">
        <f t="shared" si="14"/>
        <v>x</v>
      </c>
      <c r="AF8" s="6" t="str">
        <f t="shared" si="15"/>
        <v>x</v>
      </c>
      <c r="AG8" s="6">
        <f t="shared" si="16"/>
        <v>1</v>
      </c>
      <c r="AH8" s="6" t="str">
        <f t="shared" si="17"/>
        <v>x</v>
      </c>
      <c r="AI8" s="11"/>
      <c r="AK8" s="31">
        <v>0</v>
      </c>
      <c r="AL8" s="32">
        <v>0</v>
      </c>
      <c r="AM8" s="23">
        <f t="shared" si="18"/>
        <v>0</v>
      </c>
      <c r="AN8" s="6" t="str">
        <f t="shared" si="19"/>
        <v>0</v>
      </c>
      <c r="AO8" s="6" t="str">
        <f t="shared" si="20"/>
        <v>x</v>
      </c>
      <c r="AP8" s="6" t="str">
        <f t="shared" si="21"/>
        <v>x</v>
      </c>
      <c r="AQ8" s="6">
        <f t="shared" si="22"/>
        <v>1</v>
      </c>
      <c r="AR8" s="6" t="str">
        <f t="shared" si="23"/>
        <v>x</v>
      </c>
      <c r="AS8" s="11"/>
      <c r="AU8" s="31">
        <v>3</v>
      </c>
      <c r="AV8" s="32">
        <v>2</v>
      </c>
      <c r="AW8" s="23">
        <f t="shared" si="24"/>
        <v>0</v>
      </c>
      <c r="AX8" s="6" t="str">
        <f t="shared" si="25"/>
        <v>0</v>
      </c>
      <c r="AY8" s="6" t="str">
        <f t="shared" si="26"/>
        <v>x</v>
      </c>
      <c r="AZ8" s="6" t="str">
        <f t="shared" si="27"/>
        <v>x</v>
      </c>
      <c r="BA8" s="6" t="str">
        <f t="shared" si="28"/>
        <v>x</v>
      </c>
      <c r="BB8" s="6">
        <f t="shared" si="29"/>
        <v>1</v>
      </c>
      <c r="BC8" s="11"/>
      <c r="BE8" s="31">
        <v>3</v>
      </c>
      <c r="BF8" s="32">
        <v>2</v>
      </c>
      <c r="BG8" s="23">
        <f t="shared" si="30"/>
        <v>0</v>
      </c>
      <c r="BH8" s="6" t="str">
        <f t="shared" si="31"/>
        <v>0</v>
      </c>
      <c r="BI8" s="6" t="str">
        <f t="shared" si="32"/>
        <v>x</v>
      </c>
      <c r="BJ8" s="6" t="str">
        <f t="shared" si="33"/>
        <v>x</v>
      </c>
      <c r="BK8" s="6" t="str">
        <f t="shared" si="34"/>
        <v>x</v>
      </c>
      <c r="BL8" s="6">
        <f t="shared" si="35"/>
        <v>1</v>
      </c>
      <c r="BM8" s="11"/>
    </row>
    <row r="9" spans="2:65" x14ac:dyDescent="0.3">
      <c r="B9" s="10" t="s">
        <v>10</v>
      </c>
      <c r="C9" s="39">
        <v>0</v>
      </c>
      <c r="D9" s="39">
        <v>0</v>
      </c>
      <c r="E9" s="11" t="s">
        <v>5</v>
      </c>
      <c r="G9" s="31">
        <v>2</v>
      </c>
      <c r="H9" s="32">
        <v>3</v>
      </c>
      <c r="I9" s="23">
        <f t="shared" si="0"/>
        <v>0</v>
      </c>
      <c r="J9" s="6" t="str">
        <f t="shared" si="1"/>
        <v>0</v>
      </c>
      <c r="K9" s="6" t="str">
        <f t="shared" si="2"/>
        <v>x</v>
      </c>
      <c r="L9" s="6" t="str">
        <f t="shared" si="3"/>
        <v>x</v>
      </c>
      <c r="M9" s="6" t="str">
        <f t="shared" si="4"/>
        <v>x</v>
      </c>
      <c r="N9" s="6" t="str">
        <f t="shared" si="5"/>
        <v>x</v>
      </c>
      <c r="O9" s="11"/>
      <c r="Q9" s="31">
        <v>0</v>
      </c>
      <c r="R9" s="32">
        <v>1</v>
      </c>
      <c r="S9" s="23">
        <f t="shared" si="6"/>
        <v>0</v>
      </c>
      <c r="T9" s="6" t="str">
        <f t="shared" si="7"/>
        <v>0</v>
      </c>
      <c r="U9" s="6" t="str">
        <f t="shared" si="8"/>
        <v>x</v>
      </c>
      <c r="V9" s="6" t="str">
        <f t="shared" si="9"/>
        <v>x</v>
      </c>
      <c r="W9" s="6">
        <f t="shared" si="10"/>
        <v>1</v>
      </c>
      <c r="X9" s="6" t="str">
        <f t="shared" si="11"/>
        <v>x</v>
      </c>
      <c r="Y9" s="11"/>
      <c r="AA9" s="31">
        <v>3</v>
      </c>
      <c r="AB9" s="32">
        <v>0</v>
      </c>
      <c r="AC9" s="23">
        <f t="shared" si="12"/>
        <v>0</v>
      </c>
      <c r="AD9" s="6" t="str">
        <f t="shared" si="13"/>
        <v>0</v>
      </c>
      <c r="AE9" s="6" t="str">
        <f t="shared" si="14"/>
        <v>x</v>
      </c>
      <c r="AF9" s="6" t="str">
        <f t="shared" si="15"/>
        <v>x</v>
      </c>
      <c r="AG9" s="6" t="str">
        <f t="shared" si="16"/>
        <v>x</v>
      </c>
      <c r="AH9" s="6">
        <f t="shared" si="17"/>
        <v>1</v>
      </c>
      <c r="AI9" s="11"/>
      <c r="AK9" s="31">
        <v>0</v>
      </c>
      <c r="AL9" s="32">
        <v>0</v>
      </c>
      <c r="AM9" s="23">
        <f t="shared" si="18"/>
        <v>10</v>
      </c>
      <c r="AN9" s="6" t="str">
        <f t="shared" si="19"/>
        <v>0</v>
      </c>
      <c r="AO9" s="6" t="str">
        <f t="shared" si="20"/>
        <v>o</v>
      </c>
      <c r="AP9" s="6" t="str">
        <f t="shared" si="21"/>
        <v>x</v>
      </c>
      <c r="AQ9" s="6" t="str">
        <f t="shared" si="22"/>
        <v>x</v>
      </c>
      <c r="AR9" s="6" t="str">
        <f t="shared" si="23"/>
        <v>x</v>
      </c>
      <c r="AS9" s="11"/>
      <c r="AU9" s="31">
        <v>2</v>
      </c>
      <c r="AV9" s="32">
        <v>3</v>
      </c>
      <c r="AW9" s="23">
        <f t="shared" si="24"/>
        <v>0</v>
      </c>
      <c r="AX9" s="6" t="str">
        <f t="shared" si="25"/>
        <v>0</v>
      </c>
      <c r="AY9" s="6" t="str">
        <f t="shared" si="26"/>
        <v>x</v>
      </c>
      <c r="AZ9" s="6" t="str">
        <f t="shared" si="27"/>
        <v>x</v>
      </c>
      <c r="BA9" s="6" t="str">
        <f t="shared" si="28"/>
        <v>x</v>
      </c>
      <c r="BB9" s="6" t="str">
        <f t="shared" si="29"/>
        <v>x</v>
      </c>
      <c r="BC9" s="11"/>
      <c r="BE9" s="31">
        <v>1</v>
      </c>
      <c r="BF9" s="32">
        <v>3</v>
      </c>
      <c r="BG9" s="23">
        <f t="shared" si="30"/>
        <v>0</v>
      </c>
      <c r="BH9" s="6" t="str">
        <f t="shared" si="31"/>
        <v>0</v>
      </c>
      <c r="BI9" s="6" t="str">
        <f t="shared" si="32"/>
        <v>x</v>
      </c>
      <c r="BJ9" s="6" t="str">
        <f t="shared" si="33"/>
        <v>x</v>
      </c>
      <c r="BK9" s="6" t="str">
        <f t="shared" si="34"/>
        <v>x</v>
      </c>
      <c r="BL9" s="6" t="str">
        <f t="shared" si="35"/>
        <v>x</v>
      </c>
      <c r="BM9" s="11"/>
    </row>
    <row r="10" spans="2:65" x14ac:dyDescent="0.3">
      <c r="B10" s="10" t="s">
        <v>15</v>
      </c>
      <c r="C10" s="39">
        <v>2</v>
      </c>
      <c r="D10" s="39">
        <v>2</v>
      </c>
      <c r="E10" s="11" t="s">
        <v>6</v>
      </c>
      <c r="G10" s="31">
        <v>0</v>
      </c>
      <c r="H10" s="32">
        <v>2</v>
      </c>
      <c r="I10" s="23">
        <f t="shared" si="0"/>
        <v>0</v>
      </c>
      <c r="J10" s="6" t="str">
        <f t="shared" si="1"/>
        <v>0</v>
      </c>
      <c r="K10" s="6" t="str">
        <f t="shared" si="2"/>
        <v>x</v>
      </c>
      <c r="L10" s="6" t="str">
        <f t="shared" si="3"/>
        <v>x</v>
      </c>
      <c r="M10" s="6" t="str">
        <f t="shared" si="4"/>
        <v>x</v>
      </c>
      <c r="N10" s="55">
        <f t="shared" si="5"/>
        <v>1</v>
      </c>
      <c r="O10" s="11"/>
      <c r="Q10" s="31">
        <v>3</v>
      </c>
      <c r="R10" s="32">
        <v>1</v>
      </c>
      <c r="S10" s="23">
        <f t="shared" si="6"/>
        <v>0</v>
      </c>
      <c r="T10" s="6" t="str">
        <f t="shared" si="7"/>
        <v>0</v>
      </c>
      <c r="U10" s="6" t="str">
        <f t="shared" si="8"/>
        <v>x</v>
      </c>
      <c r="V10" s="6" t="str">
        <f t="shared" si="9"/>
        <v>x</v>
      </c>
      <c r="W10" s="6" t="str">
        <f t="shared" si="10"/>
        <v>x</v>
      </c>
      <c r="X10" s="55" t="str">
        <f t="shared" si="11"/>
        <v>x</v>
      </c>
      <c r="Y10" s="11"/>
      <c r="AA10" s="31">
        <v>2</v>
      </c>
      <c r="AB10" s="32">
        <v>0</v>
      </c>
      <c r="AC10" s="23">
        <f t="shared" si="12"/>
        <v>0</v>
      </c>
      <c r="AD10" s="6" t="str">
        <f t="shared" si="13"/>
        <v>0</v>
      </c>
      <c r="AE10" s="6" t="str">
        <f t="shared" si="14"/>
        <v>x</v>
      </c>
      <c r="AF10" s="6" t="str">
        <f t="shared" si="15"/>
        <v>x</v>
      </c>
      <c r="AG10" s="6">
        <f t="shared" si="16"/>
        <v>1</v>
      </c>
      <c r="AH10" s="55" t="str">
        <f t="shared" si="17"/>
        <v>x</v>
      </c>
      <c r="AI10" s="11"/>
      <c r="AK10" s="31">
        <v>3</v>
      </c>
      <c r="AL10" s="32">
        <v>0</v>
      </c>
      <c r="AM10" s="23">
        <f t="shared" si="18"/>
        <v>0</v>
      </c>
      <c r="AN10" s="6" t="str">
        <f t="shared" si="19"/>
        <v>0</v>
      </c>
      <c r="AO10" s="6" t="str">
        <f t="shared" si="20"/>
        <v>x</v>
      </c>
      <c r="AP10" s="6" t="str">
        <f t="shared" si="21"/>
        <v>x</v>
      </c>
      <c r="AQ10" s="6" t="str">
        <f t="shared" si="22"/>
        <v>x</v>
      </c>
      <c r="AR10" s="55" t="str">
        <f t="shared" si="23"/>
        <v>x</v>
      </c>
      <c r="AS10" s="11"/>
      <c r="AU10" s="31">
        <v>2</v>
      </c>
      <c r="AV10" s="32">
        <v>2</v>
      </c>
      <c r="AW10" s="23">
        <f t="shared" si="24"/>
        <v>10</v>
      </c>
      <c r="AX10" s="6" t="str">
        <f t="shared" si="25"/>
        <v>0</v>
      </c>
      <c r="AY10" s="6" t="str">
        <f t="shared" si="26"/>
        <v>o</v>
      </c>
      <c r="AZ10" s="6" t="str">
        <f t="shared" si="27"/>
        <v>x</v>
      </c>
      <c r="BA10" s="6" t="str">
        <f t="shared" si="28"/>
        <v>x</v>
      </c>
      <c r="BB10" s="55" t="str">
        <f t="shared" si="29"/>
        <v>x</v>
      </c>
      <c r="BC10" s="11"/>
      <c r="BE10" s="31">
        <v>0</v>
      </c>
      <c r="BF10" s="32">
        <v>3</v>
      </c>
      <c r="BG10" s="23">
        <f t="shared" si="30"/>
        <v>0</v>
      </c>
      <c r="BH10" s="6" t="str">
        <f t="shared" si="31"/>
        <v>0</v>
      </c>
      <c r="BI10" s="6" t="str">
        <f t="shared" si="32"/>
        <v>x</v>
      </c>
      <c r="BJ10" s="6" t="str">
        <f t="shared" si="33"/>
        <v>x</v>
      </c>
      <c r="BK10" s="6" t="str">
        <f t="shared" si="34"/>
        <v>x</v>
      </c>
      <c r="BL10" s="55" t="str">
        <f t="shared" si="35"/>
        <v>x</v>
      </c>
      <c r="BM10" s="11"/>
    </row>
    <row r="11" spans="2:65" x14ac:dyDescent="0.3">
      <c r="B11" s="10" t="s">
        <v>4</v>
      </c>
      <c r="C11" s="39">
        <v>3</v>
      </c>
      <c r="D11" s="39">
        <v>0</v>
      </c>
      <c r="E11" s="11" t="s">
        <v>16</v>
      </c>
      <c r="G11" s="31">
        <v>2</v>
      </c>
      <c r="H11" s="32">
        <v>1</v>
      </c>
      <c r="I11" s="23">
        <f t="shared" si="0"/>
        <v>0</v>
      </c>
      <c r="J11" s="55">
        <f t="shared" si="1"/>
        <v>2</v>
      </c>
      <c r="K11" s="6" t="str">
        <f t="shared" si="2"/>
        <v>o</v>
      </c>
      <c r="L11" s="6" t="str">
        <f t="shared" si="3"/>
        <v>x</v>
      </c>
      <c r="M11" s="6" t="str">
        <f t="shared" si="4"/>
        <v>x</v>
      </c>
      <c r="N11" s="6" t="str">
        <f t="shared" si="5"/>
        <v>x</v>
      </c>
      <c r="O11" s="11"/>
      <c r="Q11" s="31">
        <v>0</v>
      </c>
      <c r="R11" s="32">
        <v>0</v>
      </c>
      <c r="S11" s="23">
        <f t="shared" si="6"/>
        <v>0</v>
      </c>
      <c r="T11" s="55" t="str">
        <f t="shared" si="7"/>
        <v>0</v>
      </c>
      <c r="U11" s="6" t="str">
        <f t="shared" si="8"/>
        <v>x</v>
      </c>
      <c r="V11" s="6" t="str">
        <f t="shared" si="9"/>
        <v>x</v>
      </c>
      <c r="W11" s="6" t="str">
        <f t="shared" si="10"/>
        <v>x</v>
      </c>
      <c r="X11" s="6">
        <f t="shared" si="11"/>
        <v>1</v>
      </c>
      <c r="Y11" s="11"/>
      <c r="AA11" s="31">
        <v>3</v>
      </c>
      <c r="AB11" s="32">
        <v>3</v>
      </c>
      <c r="AC11" s="23">
        <f t="shared" si="12"/>
        <v>0</v>
      </c>
      <c r="AD11" s="55" t="str">
        <f t="shared" si="13"/>
        <v>0</v>
      </c>
      <c r="AE11" s="6" t="str">
        <f t="shared" si="14"/>
        <v>x</v>
      </c>
      <c r="AF11" s="6" t="str">
        <f t="shared" si="15"/>
        <v>x</v>
      </c>
      <c r="AG11" s="6">
        <f t="shared" si="16"/>
        <v>1</v>
      </c>
      <c r="AH11" s="6" t="str">
        <f t="shared" si="17"/>
        <v>x</v>
      </c>
      <c r="AI11" s="11"/>
      <c r="AK11" s="31">
        <v>2</v>
      </c>
      <c r="AL11" s="32">
        <v>2</v>
      </c>
      <c r="AM11" s="23">
        <f t="shared" si="18"/>
        <v>0</v>
      </c>
      <c r="AN11" s="55" t="str">
        <f t="shared" si="19"/>
        <v>0</v>
      </c>
      <c r="AO11" s="6" t="str">
        <f t="shared" si="20"/>
        <v>x</v>
      </c>
      <c r="AP11" s="6" t="str">
        <f t="shared" si="21"/>
        <v>x</v>
      </c>
      <c r="AQ11" s="6" t="str">
        <f t="shared" si="22"/>
        <v>x</v>
      </c>
      <c r="AR11" s="6" t="str">
        <f t="shared" si="23"/>
        <v>x</v>
      </c>
      <c r="AS11" s="11"/>
      <c r="AU11" s="31">
        <v>3</v>
      </c>
      <c r="AV11" s="32">
        <v>1</v>
      </c>
      <c r="AW11" s="23">
        <f t="shared" si="24"/>
        <v>0</v>
      </c>
      <c r="AX11" s="55">
        <f t="shared" si="25"/>
        <v>2</v>
      </c>
      <c r="AY11" s="6" t="str">
        <f t="shared" si="26"/>
        <v>o</v>
      </c>
      <c r="AZ11" s="6" t="str">
        <f t="shared" si="27"/>
        <v>x</v>
      </c>
      <c r="BA11" s="6">
        <f t="shared" si="28"/>
        <v>1</v>
      </c>
      <c r="BB11" s="6" t="str">
        <f t="shared" si="29"/>
        <v>x</v>
      </c>
      <c r="BC11" s="11"/>
      <c r="BE11" s="31">
        <v>0</v>
      </c>
      <c r="BF11" s="32">
        <v>2</v>
      </c>
      <c r="BG11" s="23">
        <f t="shared" si="30"/>
        <v>0</v>
      </c>
      <c r="BH11" s="55" t="str">
        <f t="shared" si="31"/>
        <v>0</v>
      </c>
      <c r="BI11" s="6" t="str">
        <f t="shared" si="32"/>
        <v>x</v>
      </c>
      <c r="BJ11" s="6" t="str">
        <f t="shared" si="33"/>
        <v>x</v>
      </c>
      <c r="BK11" s="6" t="str">
        <f t="shared" si="34"/>
        <v>x</v>
      </c>
      <c r="BL11" s="6" t="str">
        <f t="shared" si="35"/>
        <v>x</v>
      </c>
      <c r="BM11" s="11"/>
    </row>
    <row r="12" spans="2:65" ht="16.2" thickBot="1" x14ac:dyDescent="0.35">
      <c r="B12" s="12" t="s">
        <v>17</v>
      </c>
      <c r="C12" s="40"/>
      <c r="D12" s="40"/>
      <c r="E12" s="14" t="s">
        <v>12</v>
      </c>
      <c r="G12" s="33"/>
      <c r="H12" s="34"/>
      <c r="I12" s="25"/>
      <c r="J12" s="26"/>
      <c r="K12" s="26"/>
      <c r="L12" s="26"/>
      <c r="M12" s="26"/>
      <c r="N12" s="26"/>
      <c r="O12" s="49"/>
      <c r="Q12" s="33"/>
      <c r="R12" s="34"/>
      <c r="S12" s="25"/>
      <c r="T12" s="26"/>
      <c r="U12" s="26"/>
      <c r="V12" s="26"/>
      <c r="W12" s="26"/>
      <c r="X12" s="26"/>
      <c r="Y12" s="14"/>
      <c r="AA12" s="33"/>
      <c r="AB12" s="34"/>
      <c r="AC12" s="25"/>
      <c r="AD12" s="26"/>
      <c r="AE12" s="26"/>
      <c r="AF12" s="26"/>
      <c r="AG12" s="26"/>
      <c r="AH12" s="26"/>
      <c r="AI12" s="14"/>
      <c r="AK12" s="33"/>
      <c r="AL12" s="34"/>
      <c r="AM12" s="25"/>
      <c r="AN12" s="26"/>
      <c r="AO12" s="26"/>
      <c r="AP12" s="26"/>
      <c r="AQ12" s="26"/>
      <c r="AR12" s="26"/>
      <c r="AS12" s="14"/>
      <c r="AU12" s="33"/>
      <c r="AV12" s="34"/>
      <c r="AW12" s="25"/>
      <c r="AX12" s="26"/>
      <c r="AY12" s="26"/>
      <c r="AZ12" s="26"/>
      <c r="BA12" s="26"/>
      <c r="BB12" s="26"/>
      <c r="BC12" s="14"/>
      <c r="BE12" s="33"/>
      <c r="BF12" s="34"/>
      <c r="BG12" s="25"/>
      <c r="BH12" s="26"/>
      <c r="BI12" s="26"/>
      <c r="BJ12" s="26"/>
      <c r="BK12" s="26"/>
      <c r="BL12" s="26"/>
      <c r="BM12" s="14"/>
    </row>
    <row r="13" spans="2:65" s="42" customFormat="1" ht="21.6" thickBot="1" x14ac:dyDescent="0.45">
      <c r="B13" s="35"/>
      <c r="C13" s="35"/>
      <c r="D13" s="35"/>
      <c r="E13" s="35"/>
      <c r="G13" s="47">
        <f>SUM(I13:O13)</f>
        <v>8</v>
      </c>
      <c r="H13" s="35"/>
      <c r="I13" s="43">
        <f t="shared" ref="I13:O13" si="36">SUM(I4:I12)</f>
        <v>0</v>
      </c>
      <c r="J13" s="56">
        <f t="shared" si="36"/>
        <v>6</v>
      </c>
      <c r="K13" s="44">
        <f t="shared" si="36"/>
        <v>0</v>
      </c>
      <c r="L13" s="44">
        <f t="shared" si="36"/>
        <v>0</v>
      </c>
      <c r="M13" s="44">
        <f t="shared" si="36"/>
        <v>0</v>
      </c>
      <c r="N13" s="56">
        <f t="shared" si="36"/>
        <v>2</v>
      </c>
      <c r="O13" s="45"/>
      <c r="Q13" s="47">
        <f>SUM(S13:Y13)</f>
        <v>16</v>
      </c>
      <c r="R13" s="35"/>
      <c r="S13" s="43">
        <f t="shared" ref="S13:X13" si="37">SUM(S4:S12)</f>
        <v>10</v>
      </c>
      <c r="T13" s="56">
        <f t="shared" si="37"/>
        <v>0</v>
      </c>
      <c r="U13" s="44">
        <f t="shared" si="37"/>
        <v>0</v>
      </c>
      <c r="V13" s="44">
        <f t="shared" si="37"/>
        <v>0</v>
      </c>
      <c r="W13" s="44">
        <f t="shared" si="37"/>
        <v>4</v>
      </c>
      <c r="X13" s="56">
        <f t="shared" si="37"/>
        <v>2</v>
      </c>
      <c r="Y13" s="45"/>
      <c r="AA13" s="47">
        <f>SUM(AC13:AI13)</f>
        <v>7</v>
      </c>
      <c r="AB13" s="35"/>
      <c r="AC13" s="43">
        <f t="shared" ref="AC13:AH13" si="38">SUM(AC4:AC12)</f>
        <v>0</v>
      </c>
      <c r="AD13" s="56">
        <f t="shared" si="38"/>
        <v>0</v>
      </c>
      <c r="AE13" s="44">
        <f t="shared" si="38"/>
        <v>0</v>
      </c>
      <c r="AF13" s="44">
        <f t="shared" si="38"/>
        <v>0</v>
      </c>
      <c r="AG13" s="44">
        <f t="shared" si="38"/>
        <v>6</v>
      </c>
      <c r="AH13" s="56">
        <f t="shared" si="38"/>
        <v>1</v>
      </c>
      <c r="AI13" s="45"/>
      <c r="AK13" s="47">
        <f>SUM(AM13:AS13)</f>
        <v>22</v>
      </c>
      <c r="AL13" s="35"/>
      <c r="AM13" s="43">
        <f t="shared" ref="AM13:AR13" si="39">SUM(AM4:AM12)</f>
        <v>20</v>
      </c>
      <c r="AN13" s="56">
        <f t="shared" si="39"/>
        <v>0</v>
      </c>
      <c r="AO13" s="44">
        <f t="shared" si="39"/>
        <v>0</v>
      </c>
      <c r="AP13" s="44">
        <f t="shared" si="39"/>
        <v>0</v>
      </c>
      <c r="AQ13" s="44">
        <f t="shared" si="39"/>
        <v>1</v>
      </c>
      <c r="AR13" s="56">
        <f t="shared" si="39"/>
        <v>1</v>
      </c>
      <c r="AS13" s="45"/>
      <c r="AU13" s="47">
        <f>SUM(AW13:BC13)</f>
        <v>19</v>
      </c>
      <c r="AV13" s="35"/>
      <c r="AW13" s="43">
        <f t="shared" ref="AW13:BB13" si="40">SUM(AW4:AW12)</f>
        <v>10</v>
      </c>
      <c r="AX13" s="56">
        <f t="shared" si="40"/>
        <v>4</v>
      </c>
      <c r="AY13" s="44">
        <f t="shared" si="40"/>
        <v>0</v>
      </c>
      <c r="AZ13" s="44">
        <f t="shared" si="40"/>
        <v>0</v>
      </c>
      <c r="BA13" s="44">
        <f t="shared" si="40"/>
        <v>3</v>
      </c>
      <c r="BB13" s="56">
        <f t="shared" si="40"/>
        <v>2</v>
      </c>
      <c r="BC13" s="45"/>
      <c r="BE13" s="47">
        <f>SUM(BG13:BM13)</f>
        <v>5</v>
      </c>
      <c r="BF13" s="35"/>
      <c r="BG13" s="43">
        <f t="shared" ref="BG13:BL13" si="41">SUM(BG4:BG12)</f>
        <v>0</v>
      </c>
      <c r="BH13" s="56">
        <f t="shared" si="41"/>
        <v>2</v>
      </c>
      <c r="BI13" s="44">
        <f t="shared" si="41"/>
        <v>0</v>
      </c>
      <c r="BJ13" s="44">
        <f t="shared" si="41"/>
        <v>1</v>
      </c>
      <c r="BK13" s="44">
        <f t="shared" si="41"/>
        <v>1</v>
      </c>
      <c r="BL13" s="56">
        <f t="shared" si="41"/>
        <v>1</v>
      </c>
      <c r="BM13" s="45"/>
    </row>
    <row r="14" spans="2:65" ht="16.2" thickBot="1" x14ac:dyDescent="0.35">
      <c r="B14" s="15" t="s">
        <v>19</v>
      </c>
      <c r="C14" s="41"/>
      <c r="D14" s="41"/>
      <c r="E14" s="16"/>
      <c r="G14" s="36"/>
      <c r="H14" s="36"/>
      <c r="I14" s="5"/>
      <c r="J14" s="5"/>
      <c r="K14" s="5"/>
      <c r="L14" s="5"/>
      <c r="M14" s="5"/>
      <c r="N14" s="5"/>
      <c r="O14" s="5"/>
      <c r="Q14" s="36"/>
      <c r="R14" s="36"/>
      <c r="S14" s="5"/>
      <c r="T14" s="5"/>
      <c r="U14" s="5"/>
      <c r="V14" s="5"/>
      <c r="W14" s="5"/>
      <c r="X14" s="5"/>
      <c r="Y14" s="5"/>
      <c r="AA14" s="36"/>
      <c r="AB14" s="36"/>
      <c r="AC14" s="5"/>
      <c r="AD14" s="5"/>
      <c r="AE14" s="5"/>
      <c r="AF14" s="5"/>
      <c r="AG14" s="5"/>
      <c r="AH14" s="5"/>
      <c r="AI14" s="5"/>
      <c r="AK14" s="36"/>
      <c r="AL14" s="36"/>
      <c r="AM14" s="5"/>
      <c r="AN14" s="5"/>
      <c r="AO14" s="5"/>
      <c r="AP14" s="5"/>
      <c r="AQ14" s="5"/>
      <c r="AR14" s="5"/>
      <c r="AS14" s="5"/>
      <c r="AU14" s="36"/>
      <c r="AV14" s="36"/>
      <c r="AW14" s="5"/>
      <c r="AX14" s="5"/>
      <c r="AY14" s="5"/>
      <c r="AZ14" s="5"/>
      <c r="BA14" s="5"/>
      <c r="BB14" s="5"/>
      <c r="BC14" s="5"/>
      <c r="BE14" s="36"/>
      <c r="BF14" s="36"/>
      <c r="BG14" s="5"/>
      <c r="BH14" s="5"/>
      <c r="BI14" s="5"/>
      <c r="BJ14" s="5"/>
      <c r="BK14" s="5"/>
      <c r="BL14" s="5"/>
      <c r="BM14" s="5"/>
    </row>
    <row r="15" spans="2:65" x14ac:dyDescent="0.3">
      <c r="B15" s="7" t="s">
        <v>5</v>
      </c>
      <c r="C15" s="38">
        <v>3</v>
      </c>
      <c r="D15" s="38">
        <v>3</v>
      </c>
      <c r="E15" s="9" t="s">
        <v>2</v>
      </c>
      <c r="G15" s="29">
        <v>3</v>
      </c>
      <c r="H15" s="30">
        <v>3</v>
      </c>
      <c r="I15" s="22">
        <f>IF(AND(G15=$C15,H15=$D15),$I$2,0)</f>
        <v>10</v>
      </c>
      <c r="J15" s="54" t="str">
        <f>IF(AND(I15&amp;""="0",SIGN(G15-H15)=SIGN($C15-$D15)),$J$2,"0")</f>
        <v>0</v>
      </c>
      <c r="K15" s="8" t="str">
        <f>IF(AND(I15&amp;""="0",J15&amp;""="0"),"x","o")</f>
        <v>o</v>
      </c>
      <c r="L15" s="8" t="str">
        <f>IF(AND(J15=2,($C15-$D15)=(G15-H15)),$L$2,"x")</f>
        <v>x</v>
      </c>
      <c r="M15" s="8" t="str">
        <f>IF(AND(I15&amp;""="0",G15=$C15),$M$2,"x")</f>
        <v>x</v>
      </c>
      <c r="N15" s="54" t="str">
        <f>IF(AND(I15&amp;""="0",H15=$D15),$N$2,"x")</f>
        <v>x</v>
      </c>
      <c r="O15" s="9"/>
      <c r="Q15" s="29">
        <v>1</v>
      </c>
      <c r="R15" s="30">
        <v>0</v>
      </c>
      <c r="S15" s="22">
        <f>IF(AND(Q15=$C15,R15=$D15),$I$2,0)</f>
        <v>0</v>
      </c>
      <c r="T15" s="54" t="str">
        <f>IF(AND(S15&amp;""="0",SIGN(Q15-R15)=SIGN($C15-$D15)),$J$2,"0")</f>
        <v>0</v>
      </c>
      <c r="U15" s="8" t="str">
        <f>IF(AND(S15&amp;""="0",T15&amp;""="0"),"x","o")</f>
        <v>x</v>
      </c>
      <c r="V15" s="8" t="str">
        <f>IF(AND(T15=2,($C15-$D15)=(Q15-R15)),$L$2,"x")</f>
        <v>x</v>
      </c>
      <c r="W15" s="8" t="str">
        <f>IF(AND(S15&amp;""="0",Q15=$C15),$M$2,"x")</f>
        <v>x</v>
      </c>
      <c r="X15" s="54" t="str">
        <f>IF(AND(S15&amp;""="0",R15=$D15),$N$2,"x")</f>
        <v>x</v>
      </c>
      <c r="Y15" s="9"/>
      <c r="AA15" s="29">
        <v>3</v>
      </c>
      <c r="AB15" s="30">
        <v>1</v>
      </c>
      <c r="AC15" s="22">
        <f>IF(AND(AA15=$C15,AB15=$D15),$I$2,0)</f>
        <v>0</v>
      </c>
      <c r="AD15" s="54" t="str">
        <f>IF(AND(AC15&amp;""="0",SIGN(AA15-AB15)=SIGN($C15-$D15)),$J$2,"0")</f>
        <v>0</v>
      </c>
      <c r="AE15" s="8" t="str">
        <f>IF(AND(AC15&amp;""="0",AD15&amp;""="0"),"x","o")</f>
        <v>x</v>
      </c>
      <c r="AF15" s="8" t="str">
        <f>IF(AND(AD15=2,($C15-$D15)=(AA15-AB15)),$L$2,"x")</f>
        <v>x</v>
      </c>
      <c r="AG15" s="8">
        <f>IF(AND(AC15&amp;""="0",AA15=$C15),$M$2,"x")</f>
        <v>1</v>
      </c>
      <c r="AH15" s="54" t="str">
        <f>IF(AND(AC15&amp;""="0",AB15=$D15),$N$2,"x")</f>
        <v>x</v>
      </c>
      <c r="AI15" s="9"/>
      <c r="AK15" s="29">
        <v>3</v>
      </c>
      <c r="AL15" s="30">
        <v>0</v>
      </c>
      <c r="AM15" s="22">
        <f>IF(AND(AK15=$C15,AL15=$D15),$I$2,0)</f>
        <v>0</v>
      </c>
      <c r="AN15" s="54" t="str">
        <f>IF(AND(AM15&amp;""="0",SIGN(AK15-AL15)=SIGN($C15-$D15)),$J$2,"0")</f>
        <v>0</v>
      </c>
      <c r="AO15" s="8" t="str">
        <f>IF(AND(AM15&amp;""="0",AN15&amp;""="0"),"x","o")</f>
        <v>x</v>
      </c>
      <c r="AP15" s="8" t="str">
        <f>IF(AND(AN15=2,($C15-$D15)=(AK15-AL15)),$L$2,"x")</f>
        <v>x</v>
      </c>
      <c r="AQ15" s="8">
        <f>IF(AND(AM15&amp;""="0",AK15=$C15),$M$2,"x")</f>
        <v>1</v>
      </c>
      <c r="AR15" s="54" t="str">
        <f>IF(AND(AM15&amp;""="0",AL15=$D15),$N$2,"x")</f>
        <v>x</v>
      </c>
      <c r="AS15" s="9"/>
      <c r="AU15" s="29">
        <v>0</v>
      </c>
      <c r="AV15" s="30">
        <v>0</v>
      </c>
      <c r="AW15" s="22">
        <f>IF(AND(AU15=$C15,AV15=$D15),$I$2,0)</f>
        <v>0</v>
      </c>
      <c r="AX15" s="54">
        <f>IF(AND(AW15&amp;""="0",SIGN(AU15-AV15)=SIGN($C15-$D15)),$J$2,"0")</f>
        <v>2</v>
      </c>
      <c r="AY15" s="8" t="str">
        <f>IF(AND(AW15&amp;""="0",AX15&amp;""="0"),"x","o")</f>
        <v>o</v>
      </c>
      <c r="AZ15" s="8">
        <f>IF(AND(AX15=2,($C15-$D15)=(AU15-AV15)),$L$2,"x")</f>
        <v>1</v>
      </c>
      <c r="BA15" s="8" t="str">
        <f>IF(AND(AW15&amp;""="0",AU15=$C15),$M$2,"x")</f>
        <v>x</v>
      </c>
      <c r="BB15" s="54" t="str">
        <f>IF(AND(AW15&amp;""="0",AV15=$D15),$N$2,"x")</f>
        <v>x</v>
      </c>
      <c r="BC15" s="9"/>
      <c r="BE15" s="29">
        <v>0</v>
      </c>
      <c r="BF15" s="30">
        <v>2</v>
      </c>
      <c r="BG15" s="22">
        <f>IF(AND(BE15=$C15,BF15=$D15),$I$2,0)</f>
        <v>0</v>
      </c>
      <c r="BH15" s="54" t="str">
        <f>IF(AND(BG15&amp;""="0",SIGN(BE15-BF15)=SIGN($C15-$D15)),$J$2,"0")</f>
        <v>0</v>
      </c>
      <c r="BI15" s="8" t="str">
        <f>IF(AND(BG15&amp;""="0",BH15&amp;""="0"),"x","o")</f>
        <v>x</v>
      </c>
      <c r="BJ15" s="8" t="str">
        <f>IF(AND(BH15=2,($C15-$D15)=(BE15-BF15)),$L$2,"x")</f>
        <v>x</v>
      </c>
      <c r="BK15" s="8" t="str">
        <f>IF(AND(BG15&amp;""="0",BE15=$C15),$M$2,"x")</f>
        <v>x</v>
      </c>
      <c r="BL15" s="54" t="str">
        <f>IF(AND(BG15&amp;""="0",BF15=$D15),$N$2,"x")</f>
        <v>x</v>
      </c>
      <c r="BM15" s="9"/>
    </row>
    <row r="16" spans="2:65" x14ac:dyDescent="0.3">
      <c r="B16" s="10" t="s">
        <v>11</v>
      </c>
      <c r="C16" s="39">
        <v>1</v>
      </c>
      <c r="D16" s="39">
        <v>0</v>
      </c>
      <c r="E16" s="11" t="s">
        <v>4</v>
      </c>
      <c r="G16" s="31">
        <v>0</v>
      </c>
      <c r="H16" s="32">
        <v>2</v>
      </c>
      <c r="I16" s="23">
        <f t="shared" ref="I16:I22" si="42">IF(AND(G16=$C16,H16=$D16),$I$2,0)</f>
        <v>0</v>
      </c>
      <c r="J16" s="6" t="str">
        <f t="shared" ref="J16:J22" si="43">IF(AND(I16&amp;""="0",SIGN(G16-H16)=SIGN($C16-$D16)),$J$2,"0")</f>
        <v>0</v>
      </c>
      <c r="K16" s="6" t="str">
        <f t="shared" ref="K16:K22" si="44">IF(AND(I16&amp;""="0",J16&amp;""="0"),"x","o")</f>
        <v>x</v>
      </c>
      <c r="L16" s="6" t="str">
        <f t="shared" ref="L16:L22" si="45">IF(AND(J16=2,($C16-$D16)=(G16-H16)),$L$2,"x")</f>
        <v>x</v>
      </c>
      <c r="M16" s="6" t="str">
        <f t="shared" ref="M16:M22" si="46">IF(AND(I16&amp;""="0",G16=$C16),$M$2,"x")</f>
        <v>x</v>
      </c>
      <c r="N16" s="6" t="str">
        <f t="shared" ref="N16:N22" si="47">IF(AND(I16&amp;""="0",H16=$D16),$N$2,"x")</f>
        <v>x</v>
      </c>
      <c r="O16" s="11"/>
      <c r="Q16" s="31">
        <v>1</v>
      </c>
      <c r="R16" s="32">
        <v>1</v>
      </c>
      <c r="S16" s="23">
        <f t="shared" ref="S16:S22" si="48">IF(AND(Q16=$C16,R16=$D16),$I$2,0)</f>
        <v>0</v>
      </c>
      <c r="T16" s="6" t="str">
        <f t="shared" ref="T16:T22" si="49">IF(AND(S16&amp;""="0",SIGN(Q16-R16)=SIGN($C16-$D16)),$J$2,"0")</f>
        <v>0</v>
      </c>
      <c r="U16" s="6" t="str">
        <f t="shared" ref="U16:U22" si="50">IF(AND(S16&amp;""="0",T16&amp;""="0"),"x","o")</f>
        <v>x</v>
      </c>
      <c r="V16" s="6" t="str">
        <f t="shared" ref="V16:V22" si="51">IF(AND(T16=2,($C16-$D16)=(Q16-R16)),$L$2,"x")</f>
        <v>x</v>
      </c>
      <c r="W16" s="6">
        <f t="shared" ref="W16:W22" si="52">IF(AND(S16&amp;""="0",Q16=$C16),$M$2,"x")</f>
        <v>1</v>
      </c>
      <c r="X16" s="6" t="str">
        <f t="shared" ref="X16:X22" si="53">IF(AND(S16&amp;""="0",R16=$D16),$N$2,"x")</f>
        <v>x</v>
      </c>
      <c r="Y16" s="11"/>
      <c r="AA16" s="31">
        <v>1</v>
      </c>
      <c r="AB16" s="32">
        <v>1</v>
      </c>
      <c r="AC16" s="23">
        <f t="shared" ref="AC16:AC22" si="54">IF(AND(AA16=$C16,AB16=$D16),$I$2,0)</f>
        <v>0</v>
      </c>
      <c r="AD16" s="6" t="str">
        <f t="shared" ref="AD16:AD22" si="55">IF(AND(AC16&amp;""="0",SIGN(AA16-AB16)=SIGN($C16-$D16)),$J$2,"0")</f>
        <v>0</v>
      </c>
      <c r="AE16" s="6" t="str">
        <f t="shared" ref="AE16:AE22" si="56">IF(AND(AC16&amp;""="0",AD16&amp;""="0"),"x","o")</f>
        <v>x</v>
      </c>
      <c r="AF16" s="6" t="str">
        <f t="shared" ref="AF16:AF22" si="57">IF(AND(AD16=2,($C16-$D16)=(AA16-AB16)),$L$2,"x")</f>
        <v>x</v>
      </c>
      <c r="AG16" s="6">
        <f t="shared" ref="AG16:AG22" si="58">IF(AND(AC16&amp;""="0",AA16=$C16),$M$2,"x")</f>
        <v>1</v>
      </c>
      <c r="AH16" s="6" t="str">
        <f t="shared" ref="AH16:AH22" si="59">IF(AND(AC16&amp;""="0",AB16=$D16),$N$2,"x")</f>
        <v>x</v>
      </c>
      <c r="AI16" s="11"/>
      <c r="AK16" s="31">
        <v>0</v>
      </c>
      <c r="AL16" s="32">
        <v>1</v>
      </c>
      <c r="AM16" s="23">
        <f t="shared" ref="AM16:AM22" si="60">IF(AND(AK16=$C16,AL16=$D16),$I$2,0)</f>
        <v>0</v>
      </c>
      <c r="AN16" s="6" t="str">
        <f t="shared" ref="AN16:AN22" si="61">IF(AND(AM16&amp;""="0",SIGN(AK16-AL16)=SIGN($C16-$D16)),$J$2,"0")</f>
        <v>0</v>
      </c>
      <c r="AO16" s="6" t="str">
        <f t="shared" ref="AO16:AO22" si="62">IF(AND(AM16&amp;""="0",AN16&amp;""="0"),"x","o")</f>
        <v>x</v>
      </c>
      <c r="AP16" s="6" t="str">
        <f t="shared" ref="AP16:AP22" si="63">IF(AND(AN16=2,($C16-$D16)=(AK16-AL16)),$L$2,"x")</f>
        <v>x</v>
      </c>
      <c r="AQ16" s="6" t="str">
        <f t="shared" ref="AQ16:AQ22" si="64">IF(AND(AM16&amp;""="0",AK16=$C16),$M$2,"x")</f>
        <v>x</v>
      </c>
      <c r="AR16" s="6" t="str">
        <f t="shared" ref="AR16:AR22" si="65">IF(AND(AM16&amp;""="0",AL16=$D16),$N$2,"x")</f>
        <v>x</v>
      </c>
      <c r="AS16" s="11"/>
      <c r="AU16" s="31">
        <v>1</v>
      </c>
      <c r="AV16" s="32">
        <v>3</v>
      </c>
      <c r="AW16" s="23">
        <f t="shared" ref="AW16:AW22" si="66">IF(AND(AU16=$C16,AV16=$D16),$I$2,0)</f>
        <v>0</v>
      </c>
      <c r="AX16" s="6" t="str">
        <f t="shared" ref="AX16:AX22" si="67">IF(AND(AW16&amp;""="0",SIGN(AU16-AV16)=SIGN($C16-$D16)),$J$2,"0")</f>
        <v>0</v>
      </c>
      <c r="AY16" s="6" t="str">
        <f t="shared" ref="AY16:AY22" si="68">IF(AND(AW16&amp;""="0",AX16&amp;""="0"),"x","o")</f>
        <v>x</v>
      </c>
      <c r="AZ16" s="6" t="str">
        <f t="shared" ref="AZ16:AZ22" si="69">IF(AND(AX16=2,($C16-$D16)=(AU16-AV16)),$L$2,"x")</f>
        <v>x</v>
      </c>
      <c r="BA16" s="6">
        <f t="shared" ref="BA16:BA22" si="70">IF(AND(AW16&amp;""="0",AU16=$C16),$M$2,"x")</f>
        <v>1</v>
      </c>
      <c r="BB16" s="6" t="str">
        <f t="shared" ref="BB16:BB22" si="71">IF(AND(AW16&amp;""="0",AV16=$D16),$N$2,"x")</f>
        <v>x</v>
      </c>
      <c r="BC16" s="11"/>
      <c r="BE16" s="31">
        <v>3</v>
      </c>
      <c r="BF16" s="32">
        <v>1</v>
      </c>
      <c r="BG16" s="23">
        <f t="shared" ref="BG16:BG22" si="72">IF(AND(BE16=$C16,BF16=$D16),$I$2,0)</f>
        <v>0</v>
      </c>
      <c r="BH16" s="6">
        <f t="shared" ref="BH16:BH22" si="73">IF(AND(BG16&amp;""="0",SIGN(BE16-BF16)=SIGN($C16-$D16)),$J$2,"0")</f>
        <v>2</v>
      </c>
      <c r="BI16" s="6" t="str">
        <f t="shared" ref="BI16:BI22" si="74">IF(AND(BG16&amp;""="0",BH16&amp;""="0"),"x","o")</f>
        <v>o</v>
      </c>
      <c r="BJ16" s="6" t="str">
        <f t="shared" ref="BJ16:BJ22" si="75">IF(AND(BH16=2,($C16-$D16)=(BE16-BF16)),$L$2,"x")</f>
        <v>x</v>
      </c>
      <c r="BK16" s="6" t="str">
        <f t="shared" ref="BK16:BK22" si="76">IF(AND(BG16&amp;""="0",BE16=$C16),$M$2,"x")</f>
        <v>x</v>
      </c>
      <c r="BL16" s="6" t="str">
        <f t="shared" ref="BL16:BL22" si="77">IF(AND(BG16&amp;""="0",BF16=$D16),$N$2,"x")</f>
        <v>x</v>
      </c>
      <c r="BM16" s="11"/>
    </row>
    <row r="17" spans="2:65" x14ac:dyDescent="0.3">
      <c r="B17" s="10" t="s">
        <v>0</v>
      </c>
      <c r="C17" s="39">
        <v>3</v>
      </c>
      <c r="D17" s="39">
        <v>1</v>
      </c>
      <c r="E17" s="11" t="s">
        <v>15</v>
      </c>
      <c r="G17" s="31">
        <v>0</v>
      </c>
      <c r="H17" s="32">
        <v>3</v>
      </c>
      <c r="I17" s="23">
        <f t="shared" si="42"/>
        <v>0</v>
      </c>
      <c r="J17" s="55" t="str">
        <f t="shared" si="43"/>
        <v>0</v>
      </c>
      <c r="K17" s="6" t="str">
        <f t="shared" si="44"/>
        <v>x</v>
      </c>
      <c r="L17" s="6" t="str">
        <f t="shared" si="45"/>
        <v>x</v>
      </c>
      <c r="M17" s="6" t="str">
        <f t="shared" si="46"/>
        <v>x</v>
      </c>
      <c r="N17" s="6" t="str">
        <f t="shared" si="47"/>
        <v>x</v>
      </c>
      <c r="O17" s="11"/>
      <c r="Q17" s="31">
        <v>0</v>
      </c>
      <c r="R17" s="32">
        <v>3</v>
      </c>
      <c r="S17" s="23">
        <f t="shared" si="48"/>
        <v>0</v>
      </c>
      <c r="T17" s="55" t="str">
        <f t="shared" si="49"/>
        <v>0</v>
      </c>
      <c r="U17" s="6" t="str">
        <f t="shared" si="50"/>
        <v>x</v>
      </c>
      <c r="V17" s="6" t="str">
        <f t="shared" si="51"/>
        <v>x</v>
      </c>
      <c r="W17" s="6" t="str">
        <f t="shared" si="52"/>
        <v>x</v>
      </c>
      <c r="X17" s="6" t="str">
        <f t="shared" si="53"/>
        <v>x</v>
      </c>
      <c r="Y17" s="11"/>
      <c r="AA17" s="31">
        <v>1</v>
      </c>
      <c r="AB17" s="32">
        <v>2</v>
      </c>
      <c r="AC17" s="23">
        <f t="shared" si="54"/>
        <v>0</v>
      </c>
      <c r="AD17" s="55" t="str">
        <f t="shared" si="55"/>
        <v>0</v>
      </c>
      <c r="AE17" s="6" t="str">
        <f t="shared" si="56"/>
        <v>x</v>
      </c>
      <c r="AF17" s="6" t="str">
        <f t="shared" si="57"/>
        <v>x</v>
      </c>
      <c r="AG17" s="6" t="str">
        <f t="shared" si="58"/>
        <v>x</v>
      </c>
      <c r="AH17" s="6" t="str">
        <f t="shared" si="59"/>
        <v>x</v>
      </c>
      <c r="AI17" s="11"/>
      <c r="AK17" s="31">
        <v>2</v>
      </c>
      <c r="AL17" s="32">
        <v>2</v>
      </c>
      <c r="AM17" s="23">
        <f t="shared" si="60"/>
        <v>0</v>
      </c>
      <c r="AN17" s="55" t="str">
        <f t="shared" si="61"/>
        <v>0</v>
      </c>
      <c r="AO17" s="6" t="str">
        <f t="shared" si="62"/>
        <v>x</v>
      </c>
      <c r="AP17" s="6" t="str">
        <f t="shared" si="63"/>
        <v>x</v>
      </c>
      <c r="AQ17" s="6" t="str">
        <f t="shared" si="64"/>
        <v>x</v>
      </c>
      <c r="AR17" s="6" t="str">
        <f t="shared" si="65"/>
        <v>x</v>
      </c>
      <c r="AS17" s="11"/>
      <c r="AU17" s="31">
        <v>2</v>
      </c>
      <c r="AV17" s="32">
        <v>3</v>
      </c>
      <c r="AW17" s="23">
        <f t="shared" si="66"/>
        <v>0</v>
      </c>
      <c r="AX17" s="55" t="str">
        <f t="shared" si="67"/>
        <v>0</v>
      </c>
      <c r="AY17" s="6" t="str">
        <f t="shared" si="68"/>
        <v>x</v>
      </c>
      <c r="AZ17" s="6" t="str">
        <f t="shared" si="69"/>
        <v>x</v>
      </c>
      <c r="BA17" s="6" t="str">
        <f t="shared" si="70"/>
        <v>x</v>
      </c>
      <c r="BB17" s="6" t="str">
        <f t="shared" si="71"/>
        <v>x</v>
      </c>
      <c r="BC17" s="11"/>
      <c r="BE17" s="31">
        <v>0</v>
      </c>
      <c r="BF17" s="32">
        <v>0</v>
      </c>
      <c r="BG17" s="23">
        <f t="shared" si="72"/>
        <v>0</v>
      </c>
      <c r="BH17" s="55" t="str">
        <f t="shared" si="73"/>
        <v>0</v>
      </c>
      <c r="BI17" s="6" t="str">
        <f t="shared" si="74"/>
        <v>x</v>
      </c>
      <c r="BJ17" s="6" t="str">
        <f t="shared" si="75"/>
        <v>x</v>
      </c>
      <c r="BK17" s="6" t="str">
        <f t="shared" si="76"/>
        <v>x</v>
      </c>
      <c r="BL17" s="6" t="str">
        <f t="shared" si="77"/>
        <v>x</v>
      </c>
      <c r="BM17" s="11"/>
    </row>
    <row r="18" spans="2:65" x14ac:dyDescent="0.3">
      <c r="B18" s="10" t="s">
        <v>12</v>
      </c>
      <c r="C18" s="39">
        <v>3</v>
      </c>
      <c r="D18" s="39">
        <v>3</v>
      </c>
      <c r="E18" s="11" t="s">
        <v>13</v>
      </c>
      <c r="G18" s="31">
        <v>0</v>
      </c>
      <c r="H18" s="32">
        <v>0</v>
      </c>
      <c r="I18" s="23">
        <f t="shared" si="42"/>
        <v>0</v>
      </c>
      <c r="J18" s="6">
        <f t="shared" si="43"/>
        <v>2</v>
      </c>
      <c r="K18" s="6" t="str">
        <f t="shared" si="44"/>
        <v>o</v>
      </c>
      <c r="L18" s="6">
        <f t="shared" si="45"/>
        <v>1</v>
      </c>
      <c r="M18" s="6" t="str">
        <f t="shared" si="46"/>
        <v>x</v>
      </c>
      <c r="N18" s="6" t="str">
        <f t="shared" si="47"/>
        <v>x</v>
      </c>
      <c r="O18" s="11"/>
      <c r="Q18" s="31">
        <v>0</v>
      </c>
      <c r="R18" s="32">
        <v>2</v>
      </c>
      <c r="S18" s="23">
        <f t="shared" si="48"/>
        <v>0</v>
      </c>
      <c r="T18" s="6" t="str">
        <f t="shared" si="49"/>
        <v>0</v>
      </c>
      <c r="U18" s="6" t="str">
        <f t="shared" si="50"/>
        <v>x</v>
      </c>
      <c r="V18" s="6" t="str">
        <f t="shared" si="51"/>
        <v>x</v>
      </c>
      <c r="W18" s="6" t="str">
        <f t="shared" si="52"/>
        <v>x</v>
      </c>
      <c r="X18" s="6" t="str">
        <f t="shared" si="53"/>
        <v>x</v>
      </c>
      <c r="Y18" s="11"/>
      <c r="AA18" s="31">
        <v>0</v>
      </c>
      <c r="AB18" s="32">
        <v>3</v>
      </c>
      <c r="AC18" s="23">
        <f t="shared" si="54"/>
        <v>0</v>
      </c>
      <c r="AD18" s="6" t="str">
        <f t="shared" si="55"/>
        <v>0</v>
      </c>
      <c r="AE18" s="6" t="str">
        <f t="shared" si="56"/>
        <v>x</v>
      </c>
      <c r="AF18" s="6" t="str">
        <f t="shared" si="57"/>
        <v>x</v>
      </c>
      <c r="AG18" s="6" t="str">
        <f t="shared" si="58"/>
        <v>x</v>
      </c>
      <c r="AH18" s="6">
        <f t="shared" si="59"/>
        <v>1</v>
      </c>
      <c r="AI18" s="11"/>
      <c r="AK18" s="31">
        <v>2</v>
      </c>
      <c r="AL18" s="32">
        <v>0</v>
      </c>
      <c r="AM18" s="23">
        <f t="shared" si="60"/>
        <v>0</v>
      </c>
      <c r="AN18" s="6" t="str">
        <f t="shared" si="61"/>
        <v>0</v>
      </c>
      <c r="AO18" s="6" t="str">
        <f t="shared" si="62"/>
        <v>x</v>
      </c>
      <c r="AP18" s="6" t="str">
        <f t="shared" si="63"/>
        <v>x</v>
      </c>
      <c r="AQ18" s="6" t="str">
        <f t="shared" si="64"/>
        <v>x</v>
      </c>
      <c r="AR18" s="6" t="str">
        <f t="shared" si="65"/>
        <v>x</v>
      </c>
      <c r="AS18" s="11"/>
      <c r="AU18" s="31">
        <v>2</v>
      </c>
      <c r="AV18" s="32">
        <v>1</v>
      </c>
      <c r="AW18" s="23">
        <f t="shared" si="66"/>
        <v>0</v>
      </c>
      <c r="AX18" s="6" t="str">
        <f t="shared" si="67"/>
        <v>0</v>
      </c>
      <c r="AY18" s="6" t="str">
        <f t="shared" si="68"/>
        <v>x</v>
      </c>
      <c r="AZ18" s="6" t="str">
        <f t="shared" si="69"/>
        <v>x</v>
      </c>
      <c r="BA18" s="6" t="str">
        <f t="shared" si="70"/>
        <v>x</v>
      </c>
      <c r="BB18" s="6" t="str">
        <f t="shared" si="71"/>
        <v>x</v>
      </c>
      <c r="BC18" s="11"/>
      <c r="BE18" s="31">
        <v>3</v>
      </c>
      <c r="BF18" s="32">
        <v>1</v>
      </c>
      <c r="BG18" s="23">
        <f t="shared" si="72"/>
        <v>0</v>
      </c>
      <c r="BH18" s="6" t="str">
        <f t="shared" si="73"/>
        <v>0</v>
      </c>
      <c r="BI18" s="6" t="str">
        <f t="shared" si="74"/>
        <v>x</v>
      </c>
      <c r="BJ18" s="6" t="str">
        <f t="shared" si="75"/>
        <v>x</v>
      </c>
      <c r="BK18" s="6">
        <f t="shared" si="76"/>
        <v>1</v>
      </c>
      <c r="BL18" s="6" t="str">
        <f t="shared" si="77"/>
        <v>x</v>
      </c>
      <c r="BM18" s="11"/>
    </row>
    <row r="19" spans="2:65" x14ac:dyDescent="0.3">
      <c r="B19" s="10" t="s">
        <v>8</v>
      </c>
      <c r="C19" s="39">
        <v>3</v>
      </c>
      <c r="D19" s="39">
        <v>2</v>
      </c>
      <c r="E19" s="11" t="s">
        <v>3</v>
      </c>
      <c r="G19" s="31">
        <v>3</v>
      </c>
      <c r="H19" s="32">
        <v>1</v>
      </c>
      <c r="I19" s="23">
        <f t="shared" si="42"/>
        <v>0</v>
      </c>
      <c r="J19" s="6">
        <f t="shared" si="43"/>
        <v>2</v>
      </c>
      <c r="K19" s="6" t="str">
        <f t="shared" si="44"/>
        <v>o</v>
      </c>
      <c r="L19" s="6" t="str">
        <f t="shared" si="45"/>
        <v>x</v>
      </c>
      <c r="M19" s="6">
        <f t="shared" si="46"/>
        <v>1</v>
      </c>
      <c r="N19" s="6" t="str">
        <f t="shared" si="47"/>
        <v>x</v>
      </c>
      <c r="O19" s="11"/>
      <c r="Q19" s="31">
        <v>3</v>
      </c>
      <c r="R19" s="32">
        <v>0</v>
      </c>
      <c r="S19" s="23">
        <f t="shared" si="48"/>
        <v>0</v>
      </c>
      <c r="T19" s="6">
        <f t="shared" si="49"/>
        <v>2</v>
      </c>
      <c r="U19" s="6" t="str">
        <f t="shared" si="50"/>
        <v>o</v>
      </c>
      <c r="V19" s="6" t="str">
        <f t="shared" si="51"/>
        <v>x</v>
      </c>
      <c r="W19" s="6">
        <f t="shared" si="52"/>
        <v>1</v>
      </c>
      <c r="X19" s="6" t="str">
        <f t="shared" si="53"/>
        <v>x</v>
      </c>
      <c r="Y19" s="11"/>
      <c r="AA19" s="31">
        <v>0</v>
      </c>
      <c r="AB19" s="32">
        <v>1</v>
      </c>
      <c r="AC19" s="23">
        <f t="shared" si="54"/>
        <v>0</v>
      </c>
      <c r="AD19" s="6" t="str">
        <f t="shared" si="55"/>
        <v>0</v>
      </c>
      <c r="AE19" s="6" t="str">
        <f t="shared" si="56"/>
        <v>x</v>
      </c>
      <c r="AF19" s="6" t="str">
        <f t="shared" si="57"/>
        <v>x</v>
      </c>
      <c r="AG19" s="6" t="str">
        <f t="shared" si="58"/>
        <v>x</v>
      </c>
      <c r="AH19" s="6" t="str">
        <f t="shared" si="59"/>
        <v>x</v>
      </c>
      <c r="AI19" s="11"/>
      <c r="AK19" s="31">
        <v>3</v>
      </c>
      <c r="AL19" s="32">
        <v>3</v>
      </c>
      <c r="AM19" s="23">
        <f t="shared" si="60"/>
        <v>0</v>
      </c>
      <c r="AN19" s="6" t="str">
        <f t="shared" si="61"/>
        <v>0</v>
      </c>
      <c r="AO19" s="6" t="str">
        <f t="shared" si="62"/>
        <v>x</v>
      </c>
      <c r="AP19" s="6" t="str">
        <f t="shared" si="63"/>
        <v>x</v>
      </c>
      <c r="AQ19" s="6">
        <f t="shared" si="64"/>
        <v>1</v>
      </c>
      <c r="AR19" s="6" t="str">
        <f t="shared" si="65"/>
        <v>x</v>
      </c>
      <c r="AS19" s="11"/>
      <c r="AU19" s="31">
        <v>0</v>
      </c>
      <c r="AV19" s="32">
        <v>3</v>
      </c>
      <c r="AW19" s="23">
        <f t="shared" si="66"/>
        <v>0</v>
      </c>
      <c r="AX19" s="6" t="str">
        <f t="shared" si="67"/>
        <v>0</v>
      </c>
      <c r="AY19" s="6" t="str">
        <f t="shared" si="68"/>
        <v>x</v>
      </c>
      <c r="AZ19" s="6" t="str">
        <f t="shared" si="69"/>
        <v>x</v>
      </c>
      <c r="BA19" s="6" t="str">
        <f t="shared" si="70"/>
        <v>x</v>
      </c>
      <c r="BB19" s="6" t="str">
        <f t="shared" si="71"/>
        <v>x</v>
      </c>
      <c r="BC19" s="11"/>
      <c r="BE19" s="31">
        <v>0</v>
      </c>
      <c r="BF19" s="32">
        <v>1</v>
      </c>
      <c r="BG19" s="23">
        <f t="shared" si="72"/>
        <v>0</v>
      </c>
      <c r="BH19" s="6" t="str">
        <f t="shared" si="73"/>
        <v>0</v>
      </c>
      <c r="BI19" s="6" t="str">
        <f t="shared" si="74"/>
        <v>x</v>
      </c>
      <c r="BJ19" s="6" t="str">
        <f t="shared" si="75"/>
        <v>x</v>
      </c>
      <c r="BK19" s="6" t="str">
        <f t="shared" si="76"/>
        <v>x</v>
      </c>
      <c r="BL19" s="6" t="str">
        <f t="shared" si="77"/>
        <v>x</v>
      </c>
      <c r="BM19" s="11"/>
    </row>
    <row r="20" spans="2:65" x14ac:dyDescent="0.3">
      <c r="B20" s="10" t="s">
        <v>9</v>
      </c>
      <c r="C20" s="39">
        <v>1</v>
      </c>
      <c r="D20" s="39">
        <v>3</v>
      </c>
      <c r="E20" s="11" t="s">
        <v>7</v>
      </c>
      <c r="G20" s="31">
        <v>1</v>
      </c>
      <c r="H20" s="32">
        <v>0</v>
      </c>
      <c r="I20" s="23">
        <f t="shared" si="42"/>
        <v>0</v>
      </c>
      <c r="J20" s="6" t="str">
        <f t="shared" si="43"/>
        <v>0</v>
      </c>
      <c r="K20" s="6" t="str">
        <f t="shared" si="44"/>
        <v>x</v>
      </c>
      <c r="L20" s="6" t="str">
        <f t="shared" si="45"/>
        <v>x</v>
      </c>
      <c r="M20" s="6">
        <f t="shared" si="46"/>
        <v>1</v>
      </c>
      <c r="N20" s="6" t="str">
        <f t="shared" si="47"/>
        <v>x</v>
      </c>
      <c r="O20" s="11"/>
      <c r="Q20" s="31">
        <v>1</v>
      </c>
      <c r="R20" s="32">
        <v>2</v>
      </c>
      <c r="S20" s="23">
        <f t="shared" si="48"/>
        <v>0</v>
      </c>
      <c r="T20" s="6">
        <f t="shared" si="49"/>
        <v>2</v>
      </c>
      <c r="U20" s="6" t="str">
        <f t="shared" si="50"/>
        <v>o</v>
      </c>
      <c r="V20" s="6" t="str">
        <f t="shared" si="51"/>
        <v>x</v>
      </c>
      <c r="W20" s="6">
        <f t="shared" si="52"/>
        <v>1</v>
      </c>
      <c r="X20" s="6" t="str">
        <f t="shared" si="53"/>
        <v>x</v>
      </c>
      <c r="Y20" s="11"/>
      <c r="AA20" s="31">
        <v>3</v>
      </c>
      <c r="AB20" s="32">
        <v>3</v>
      </c>
      <c r="AC20" s="23">
        <f t="shared" si="54"/>
        <v>0</v>
      </c>
      <c r="AD20" s="6" t="str">
        <f t="shared" si="55"/>
        <v>0</v>
      </c>
      <c r="AE20" s="6" t="str">
        <f t="shared" si="56"/>
        <v>x</v>
      </c>
      <c r="AF20" s="6" t="str">
        <f t="shared" si="57"/>
        <v>x</v>
      </c>
      <c r="AG20" s="6" t="str">
        <f t="shared" si="58"/>
        <v>x</v>
      </c>
      <c r="AH20" s="6">
        <f t="shared" si="59"/>
        <v>1</v>
      </c>
      <c r="AI20" s="11"/>
      <c r="AK20" s="31">
        <v>3</v>
      </c>
      <c r="AL20" s="32">
        <v>3</v>
      </c>
      <c r="AM20" s="23">
        <f t="shared" si="60"/>
        <v>0</v>
      </c>
      <c r="AN20" s="6" t="str">
        <f t="shared" si="61"/>
        <v>0</v>
      </c>
      <c r="AO20" s="6" t="str">
        <f t="shared" si="62"/>
        <v>x</v>
      </c>
      <c r="AP20" s="6" t="str">
        <f t="shared" si="63"/>
        <v>x</v>
      </c>
      <c r="AQ20" s="6" t="str">
        <f t="shared" si="64"/>
        <v>x</v>
      </c>
      <c r="AR20" s="6">
        <f t="shared" si="65"/>
        <v>1</v>
      </c>
      <c r="AS20" s="11"/>
      <c r="AU20" s="31">
        <v>2</v>
      </c>
      <c r="AV20" s="32">
        <v>0</v>
      </c>
      <c r="AW20" s="23">
        <f t="shared" si="66"/>
        <v>0</v>
      </c>
      <c r="AX20" s="6" t="str">
        <f t="shared" si="67"/>
        <v>0</v>
      </c>
      <c r="AY20" s="6" t="str">
        <f t="shared" si="68"/>
        <v>x</v>
      </c>
      <c r="AZ20" s="6" t="str">
        <f t="shared" si="69"/>
        <v>x</v>
      </c>
      <c r="BA20" s="6" t="str">
        <f t="shared" si="70"/>
        <v>x</v>
      </c>
      <c r="BB20" s="6" t="str">
        <f t="shared" si="71"/>
        <v>x</v>
      </c>
      <c r="BC20" s="11"/>
      <c r="BE20" s="31">
        <v>1</v>
      </c>
      <c r="BF20" s="32">
        <v>2</v>
      </c>
      <c r="BG20" s="23">
        <f t="shared" si="72"/>
        <v>0</v>
      </c>
      <c r="BH20" s="6">
        <f t="shared" si="73"/>
        <v>2</v>
      </c>
      <c r="BI20" s="6" t="str">
        <f t="shared" si="74"/>
        <v>o</v>
      </c>
      <c r="BJ20" s="6" t="str">
        <f t="shared" si="75"/>
        <v>x</v>
      </c>
      <c r="BK20" s="6">
        <f t="shared" si="76"/>
        <v>1</v>
      </c>
      <c r="BL20" s="6" t="str">
        <f t="shared" si="77"/>
        <v>x</v>
      </c>
      <c r="BM20" s="11"/>
    </row>
    <row r="21" spans="2:65" x14ac:dyDescent="0.3">
      <c r="B21" s="10" t="s">
        <v>1</v>
      </c>
      <c r="C21" s="39">
        <v>1</v>
      </c>
      <c r="D21" s="39">
        <v>1</v>
      </c>
      <c r="E21" s="11" t="s">
        <v>17</v>
      </c>
      <c r="G21" s="31">
        <v>3</v>
      </c>
      <c r="H21" s="32">
        <v>3</v>
      </c>
      <c r="I21" s="23">
        <f t="shared" si="42"/>
        <v>0</v>
      </c>
      <c r="J21" s="6">
        <f t="shared" si="43"/>
        <v>2</v>
      </c>
      <c r="K21" s="6" t="str">
        <f t="shared" si="44"/>
        <v>o</v>
      </c>
      <c r="L21" s="6">
        <f t="shared" si="45"/>
        <v>1</v>
      </c>
      <c r="M21" s="6" t="str">
        <f t="shared" si="46"/>
        <v>x</v>
      </c>
      <c r="N21" s="55" t="str">
        <f t="shared" si="47"/>
        <v>x</v>
      </c>
      <c r="O21" s="11"/>
      <c r="Q21" s="31">
        <v>2</v>
      </c>
      <c r="R21" s="32">
        <v>1</v>
      </c>
      <c r="S21" s="23">
        <f t="shared" si="48"/>
        <v>0</v>
      </c>
      <c r="T21" s="6" t="str">
        <f t="shared" si="49"/>
        <v>0</v>
      </c>
      <c r="U21" s="6" t="str">
        <f t="shared" si="50"/>
        <v>x</v>
      </c>
      <c r="V21" s="6" t="str">
        <f t="shared" si="51"/>
        <v>x</v>
      </c>
      <c r="W21" s="6" t="str">
        <f t="shared" si="52"/>
        <v>x</v>
      </c>
      <c r="X21" s="55">
        <f t="shared" si="53"/>
        <v>1</v>
      </c>
      <c r="Y21" s="11"/>
      <c r="AA21" s="31">
        <v>1</v>
      </c>
      <c r="AB21" s="32">
        <v>0</v>
      </c>
      <c r="AC21" s="23">
        <f t="shared" si="54"/>
        <v>0</v>
      </c>
      <c r="AD21" s="6" t="str">
        <f t="shared" si="55"/>
        <v>0</v>
      </c>
      <c r="AE21" s="6" t="str">
        <f t="shared" si="56"/>
        <v>x</v>
      </c>
      <c r="AF21" s="6" t="str">
        <f t="shared" si="57"/>
        <v>x</v>
      </c>
      <c r="AG21" s="6">
        <f t="shared" si="58"/>
        <v>1</v>
      </c>
      <c r="AH21" s="55" t="str">
        <f t="shared" si="59"/>
        <v>x</v>
      </c>
      <c r="AI21" s="11"/>
      <c r="AK21" s="31">
        <v>3</v>
      </c>
      <c r="AL21" s="32">
        <v>1</v>
      </c>
      <c r="AM21" s="23">
        <f t="shared" si="60"/>
        <v>0</v>
      </c>
      <c r="AN21" s="6" t="str">
        <f t="shared" si="61"/>
        <v>0</v>
      </c>
      <c r="AO21" s="6" t="str">
        <f t="shared" si="62"/>
        <v>x</v>
      </c>
      <c r="AP21" s="6" t="str">
        <f t="shared" si="63"/>
        <v>x</v>
      </c>
      <c r="AQ21" s="6" t="str">
        <f t="shared" si="64"/>
        <v>x</v>
      </c>
      <c r="AR21" s="55">
        <f t="shared" si="65"/>
        <v>1</v>
      </c>
      <c r="AS21" s="11"/>
      <c r="AU21" s="31">
        <v>0</v>
      </c>
      <c r="AV21" s="32">
        <v>1</v>
      </c>
      <c r="AW21" s="23">
        <f t="shared" si="66"/>
        <v>0</v>
      </c>
      <c r="AX21" s="6" t="str">
        <f t="shared" si="67"/>
        <v>0</v>
      </c>
      <c r="AY21" s="6" t="str">
        <f t="shared" si="68"/>
        <v>x</v>
      </c>
      <c r="AZ21" s="6" t="str">
        <f t="shared" si="69"/>
        <v>x</v>
      </c>
      <c r="BA21" s="6" t="str">
        <f t="shared" si="70"/>
        <v>x</v>
      </c>
      <c r="BB21" s="55">
        <f t="shared" si="71"/>
        <v>1</v>
      </c>
      <c r="BC21" s="11"/>
      <c r="BE21" s="31">
        <v>1</v>
      </c>
      <c r="BF21" s="32">
        <v>3</v>
      </c>
      <c r="BG21" s="23">
        <f t="shared" si="72"/>
        <v>0</v>
      </c>
      <c r="BH21" s="6" t="str">
        <f t="shared" si="73"/>
        <v>0</v>
      </c>
      <c r="BI21" s="6" t="str">
        <f t="shared" si="74"/>
        <v>x</v>
      </c>
      <c r="BJ21" s="6" t="str">
        <f t="shared" si="75"/>
        <v>x</v>
      </c>
      <c r="BK21" s="6">
        <f t="shared" si="76"/>
        <v>1</v>
      </c>
      <c r="BL21" s="55" t="str">
        <f t="shared" si="77"/>
        <v>x</v>
      </c>
      <c r="BM21" s="11"/>
    </row>
    <row r="22" spans="2:65" x14ac:dyDescent="0.3">
      <c r="B22" s="10" t="s">
        <v>6</v>
      </c>
      <c r="C22" s="39">
        <v>0</v>
      </c>
      <c r="D22" s="39">
        <v>0</v>
      </c>
      <c r="E22" s="11" t="s">
        <v>14</v>
      </c>
      <c r="G22" s="31">
        <v>0</v>
      </c>
      <c r="H22" s="32">
        <v>1</v>
      </c>
      <c r="I22" s="23">
        <f t="shared" si="42"/>
        <v>0</v>
      </c>
      <c r="J22" s="55" t="str">
        <f t="shared" si="43"/>
        <v>0</v>
      </c>
      <c r="K22" s="6" t="str">
        <f t="shared" si="44"/>
        <v>x</v>
      </c>
      <c r="L22" s="6" t="str">
        <f t="shared" si="45"/>
        <v>x</v>
      </c>
      <c r="M22" s="6">
        <f t="shared" si="46"/>
        <v>1</v>
      </c>
      <c r="N22" s="6" t="str">
        <f t="shared" si="47"/>
        <v>x</v>
      </c>
      <c r="O22" s="11"/>
      <c r="Q22" s="31">
        <v>0</v>
      </c>
      <c r="R22" s="32">
        <v>0</v>
      </c>
      <c r="S22" s="23">
        <f t="shared" si="48"/>
        <v>10</v>
      </c>
      <c r="T22" s="55" t="str">
        <f t="shared" si="49"/>
        <v>0</v>
      </c>
      <c r="U22" s="6" t="str">
        <f t="shared" si="50"/>
        <v>o</v>
      </c>
      <c r="V22" s="6" t="str">
        <f t="shared" si="51"/>
        <v>x</v>
      </c>
      <c r="W22" s="6" t="str">
        <f t="shared" si="52"/>
        <v>x</v>
      </c>
      <c r="X22" s="6" t="str">
        <f t="shared" si="53"/>
        <v>x</v>
      </c>
      <c r="Y22" s="11"/>
      <c r="AA22" s="31">
        <v>0</v>
      </c>
      <c r="AB22" s="32">
        <v>1</v>
      </c>
      <c r="AC22" s="23">
        <f t="shared" si="54"/>
        <v>0</v>
      </c>
      <c r="AD22" s="55" t="str">
        <f t="shared" si="55"/>
        <v>0</v>
      </c>
      <c r="AE22" s="6" t="str">
        <f t="shared" si="56"/>
        <v>x</v>
      </c>
      <c r="AF22" s="6" t="str">
        <f t="shared" si="57"/>
        <v>x</v>
      </c>
      <c r="AG22" s="6">
        <f t="shared" si="58"/>
        <v>1</v>
      </c>
      <c r="AH22" s="6" t="str">
        <f t="shared" si="59"/>
        <v>x</v>
      </c>
      <c r="AI22" s="11"/>
      <c r="AK22" s="31">
        <v>1</v>
      </c>
      <c r="AL22" s="32">
        <v>0</v>
      </c>
      <c r="AM22" s="23">
        <f t="shared" si="60"/>
        <v>0</v>
      </c>
      <c r="AN22" s="55" t="str">
        <f t="shared" si="61"/>
        <v>0</v>
      </c>
      <c r="AO22" s="6" t="str">
        <f t="shared" si="62"/>
        <v>x</v>
      </c>
      <c r="AP22" s="6" t="str">
        <f t="shared" si="63"/>
        <v>x</v>
      </c>
      <c r="AQ22" s="6" t="str">
        <f t="shared" si="64"/>
        <v>x</v>
      </c>
      <c r="AR22" s="6">
        <f t="shared" si="65"/>
        <v>1</v>
      </c>
      <c r="AS22" s="11"/>
      <c r="AU22" s="31">
        <v>0</v>
      </c>
      <c r="AV22" s="32">
        <v>2</v>
      </c>
      <c r="AW22" s="23">
        <f t="shared" si="66"/>
        <v>0</v>
      </c>
      <c r="AX22" s="55" t="str">
        <f t="shared" si="67"/>
        <v>0</v>
      </c>
      <c r="AY22" s="6" t="str">
        <f t="shared" si="68"/>
        <v>x</v>
      </c>
      <c r="AZ22" s="6" t="str">
        <f t="shared" si="69"/>
        <v>x</v>
      </c>
      <c r="BA22" s="6">
        <f t="shared" si="70"/>
        <v>1</v>
      </c>
      <c r="BB22" s="6" t="str">
        <f t="shared" si="71"/>
        <v>x</v>
      </c>
      <c r="BC22" s="11"/>
      <c r="BE22" s="31">
        <v>2</v>
      </c>
      <c r="BF22" s="32">
        <v>3</v>
      </c>
      <c r="BG22" s="23">
        <f t="shared" si="72"/>
        <v>0</v>
      </c>
      <c r="BH22" s="55" t="str">
        <f t="shared" si="73"/>
        <v>0</v>
      </c>
      <c r="BI22" s="6" t="str">
        <f t="shared" si="74"/>
        <v>x</v>
      </c>
      <c r="BJ22" s="6" t="str">
        <f t="shared" si="75"/>
        <v>x</v>
      </c>
      <c r="BK22" s="6" t="str">
        <f t="shared" si="76"/>
        <v>x</v>
      </c>
      <c r="BL22" s="6" t="str">
        <f t="shared" si="77"/>
        <v>x</v>
      </c>
      <c r="BM22" s="11"/>
    </row>
    <row r="23" spans="2:65" ht="16.2" thickBot="1" x14ac:dyDescent="0.35">
      <c r="B23" s="12" t="s">
        <v>16</v>
      </c>
      <c r="C23" s="40"/>
      <c r="D23" s="40"/>
      <c r="E23" s="14" t="s">
        <v>10</v>
      </c>
      <c r="G23" s="33"/>
      <c r="H23" s="34"/>
      <c r="I23" s="24"/>
      <c r="J23" s="13"/>
      <c r="K23" s="13"/>
      <c r="L23" s="13" t="str">
        <f t="shared" ref="L16:L23" si="78">IF(AND(J23=2,($C23-$D23)=(G23-H23)),1,"")</f>
        <v/>
      </c>
      <c r="M23" s="26"/>
      <c r="N23" s="26"/>
      <c r="O23" s="14"/>
      <c r="Q23" s="33"/>
      <c r="R23" s="34"/>
      <c r="S23" s="24"/>
      <c r="T23" s="13"/>
      <c r="U23" s="13"/>
      <c r="V23" s="13" t="str">
        <f t="shared" ref="V23:V30" si="79">IF(AND(T23=2,($C23-$D23)=(Q23-R23)),1,"")</f>
        <v/>
      </c>
      <c r="W23" s="26"/>
      <c r="X23" s="26"/>
      <c r="Y23" s="14"/>
      <c r="AA23" s="33"/>
      <c r="AB23" s="34"/>
      <c r="AC23" s="24"/>
      <c r="AD23" s="13"/>
      <c r="AE23" s="13"/>
      <c r="AF23" s="13" t="str">
        <f t="shared" ref="AF23:AF30" si="80">IF(AND(AD23=2,($C23-$D23)=(AA23-AB23)),1,"")</f>
        <v/>
      </c>
      <c r="AG23" s="26"/>
      <c r="AH23" s="26"/>
      <c r="AI23" s="14"/>
      <c r="AK23" s="33"/>
      <c r="AL23" s="34"/>
      <c r="AM23" s="24"/>
      <c r="AN23" s="13"/>
      <c r="AO23" s="13"/>
      <c r="AP23" s="13" t="str">
        <f t="shared" ref="AP23:AP30" si="81">IF(AND(AN23=2,($C23-$D23)=(AK23-AL23)),1,"")</f>
        <v/>
      </c>
      <c r="AQ23" s="26"/>
      <c r="AR23" s="26"/>
      <c r="AS23" s="14"/>
      <c r="AU23" s="33"/>
      <c r="AV23" s="34"/>
      <c r="AW23" s="24"/>
      <c r="AX23" s="13"/>
      <c r="AY23" s="13"/>
      <c r="AZ23" s="13" t="str">
        <f t="shared" ref="AZ23:AZ30" si="82">IF(AND(AX23=2,($C23-$D23)=(AU23-AV23)),1,"")</f>
        <v/>
      </c>
      <c r="BA23" s="26"/>
      <c r="BB23" s="26"/>
      <c r="BC23" s="14"/>
      <c r="BE23" s="33"/>
      <c r="BF23" s="34"/>
      <c r="BG23" s="24"/>
      <c r="BH23" s="13"/>
      <c r="BI23" s="13"/>
      <c r="BJ23" s="13" t="str">
        <f t="shared" ref="BJ23:BJ30" si="83">IF(AND(BH23=2,($C23-$D23)=(BE23-BF23)),1,"")</f>
        <v/>
      </c>
      <c r="BK23" s="26"/>
      <c r="BL23" s="26"/>
      <c r="BM23" s="14"/>
    </row>
    <row r="24" spans="2:65" s="42" customFormat="1" ht="21.6" thickBot="1" x14ac:dyDescent="0.45">
      <c r="B24" s="35"/>
      <c r="C24" s="35"/>
      <c r="D24" s="35"/>
      <c r="E24" s="35"/>
      <c r="G24" s="47">
        <f>SUM(I24:O24)</f>
        <v>21</v>
      </c>
      <c r="H24" s="35"/>
      <c r="I24" s="57">
        <f t="shared" ref="I24:O24" si="84">SUM(I15:I23)</f>
        <v>10</v>
      </c>
      <c r="J24" s="56">
        <f t="shared" si="84"/>
        <v>6</v>
      </c>
      <c r="K24" s="44">
        <f t="shared" si="84"/>
        <v>0</v>
      </c>
      <c r="L24" s="56">
        <f t="shared" si="84"/>
        <v>2</v>
      </c>
      <c r="M24" s="56">
        <f t="shared" si="84"/>
        <v>3</v>
      </c>
      <c r="N24" s="44">
        <f t="shared" si="84"/>
        <v>0</v>
      </c>
      <c r="O24" s="45"/>
      <c r="Q24" s="47">
        <f>SUM(S24:Y24)</f>
        <v>18</v>
      </c>
      <c r="R24" s="35"/>
      <c r="S24" s="57">
        <f t="shared" ref="S24:X24" si="85">SUM(S15:S23)</f>
        <v>10</v>
      </c>
      <c r="T24" s="56">
        <f t="shared" si="85"/>
        <v>4</v>
      </c>
      <c r="U24" s="44">
        <f t="shared" si="85"/>
        <v>0</v>
      </c>
      <c r="V24" s="56">
        <f t="shared" si="85"/>
        <v>0</v>
      </c>
      <c r="W24" s="56">
        <f t="shared" si="85"/>
        <v>3</v>
      </c>
      <c r="X24" s="44">
        <f t="shared" si="85"/>
        <v>1</v>
      </c>
      <c r="Y24" s="45"/>
      <c r="AA24" s="47">
        <f>SUM(AC24:AI24)</f>
        <v>6</v>
      </c>
      <c r="AB24" s="35"/>
      <c r="AC24" s="57">
        <f t="shared" ref="AC24:AH24" si="86">SUM(AC15:AC23)</f>
        <v>0</v>
      </c>
      <c r="AD24" s="56">
        <f t="shared" si="86"/>
        <v>0</v>
      </c>
      <c r="AE24" s="44">
        <f t="shared" si="86"/>
        <v>0</v>
      </c>
      <c r="AF24" s="56">
        <f t="shared" si="86"/>
        <v>0</v>
      </c>
      <c r="AG24" s="56">
        <f t="shared" si="86"/>
        <v>4</v>
      </c>
      <c r="AH24" s="44">
        <f t="shared" si="86"/>
        <v>2</v>
      </c>
      <c r="AI24" s="45"/>
      <c r="AK24" s="47">
        <f>SUM(AM24:AS24)</f>
        <v>5</v>
      </c>
      <c r="AL24" s="35"/>
      <c r="AM24" s="57">
        <f t="shared" ref="AM24:AR24" si="87">SUM(AM15:AM23)</f>
        <v>0</v>
      </c>
      <c r="AN24" s="56">
        <f t="shared" si="87"/>
        <v>0</v>
      </c>
      <c r="AO24" s="44">
        <f t="shared" si="87"/>
        <v>0</v>
      </c>
      <c r="AP24" s="56">
        <f t="shared" si="87"/>
        <v>0</v>
      </c>
      <c r="AQ24" s="56">
        <f t="shared" si="87"/>
        <v>2</v>
      </c>
      <c r="AR24" s="44">
        <f t="shared" si="87"/>
        <v>3</v>
      </c>
      <c r="AS24" s="45"/>
      <c r="AU24" s="47">
        <f>SUM(AW24:BC24)</f>
        <v>6</v>
      </c>
      <c r="AV24" s="35"/>
      <c r="AW24" s="57">
        <f t="shared" ref="AW24:BB24" si="88">SUM(AW15:AW23)</f>
        <v>0</v>
      </c>
      <c r="AX24" s="56">
        <f t="shared" si="88"/>
        <v>2</v>
      </c>
      <c r="AY24" s="44">
        <f t="shared" si="88"/>
        <v>0</v>
      </c>
      <c r="AZ24" s="56">
        <f t="shared" si="88"/>
        <v>1</v>
      </c>
      <c r="BA24" s="56">
        <f t="shared" si="88"/>
        <v>2</v>
      </c>
      <c r="BB24" s="44">
        <f t="shared" si="88"/>
        <v>1</v>
      </c>
      <c r="BC24" s="45"/>
      <c r="BE24" s="47">
        <f>SUM(BG24:BM24)</f>
        <v>7</v>
      </c>
      <c r="BF24" s="35"/>
      <c r="BG24" s="57">
        <f t="shared" ref="BG24:BL24" si="89">SUM(BG15:BG23)</f>
        <v>0</v>
      </c>
      <c r="BH24" s="56">
        <f t="shared" si="89"/>
        <v>4</v>
      </c>
      <c r="BI24" s="44">
        <f t="shared" si="89"/>
        <v>0</v>
      </c>
      <c r="BJ24" s="56">
        <f t="shared" si="89"/>
        <v>0</v>
      </c>
      <c r="BK24" s="56">
        <f t="shared" si="89"/>
        <v>3</v>
      </c>
      <c r="BL24" s="44">
        <f t="shared" si="89"/>
        <v>0</v>
      </c>
      <c r="BM24" s="45"/>
    </row>
    <row r="25" spans="2:65" ht="16.2" thickBot="1" x14ac:dyDescent="0.35">
      <c r="B25" s="15" t="s">
        <v>20</v>
      </c>
      <c r="C25" s="41"/>
      <c r="D25" s="41"/>
      <c r="E25" s="16"/>
      <c r="G25" s="36"/>
      <c r="H25" s="36"/>
      <c r="I25" s="5"/>
      <c r="J25" s="5"/>
      <c r="K25" s="5"/>
      <c r="L25" s="5"/>
      <c r="M25" s="5"/>
      <c r="N25" s="5"/>
      <c r="O25" s="5"/>
      <c r="Q25" s="36"/>
      <c r="R25" s="36"/>
      <c r="S25" s="5"/>
      <c r="T25" s="5"/>
      <c r="U25" s="5"/>
      <c r="V25" s="5"/>
      <c r="W25" s="5"/>
      <c r="X25" s="5"/>
      <c r="Y25" s="5"/>
      <c r="AA25" s="36"/>
      <c r="AB25" s="36"/>
      <c r="AC25" s="5"/>
      <c r="AD25" s="5"/>
      <c r="AE25" s="5"/>
      <c r="AF25" s="5"/>
      <c r="AG25" s="5"/>
      <c r="AH25" s="5"/>
      <c r="AI25" s="5"/>
      <c r="AK25" s="36"/>
      <c r="AL25" s="36"/>
      <c r="AM25" s="5"/>
      <c r="AN25" s="5"/>
      <c r="AO25" s="5"/>
      <c r="AP25" s="5"/>
      <c r="AQ25" s="5"/>
      <c r="AR25" s="5"/>
      <c r="AS25" s="5"/>
      <c r="AU25" s="36"/>
      <c r="AV25" s="36"/>
      <c r="AW25" s="5"/>
      <c r="AX25" s="5"/>
      <c r="AY25" s="5"/>
      <c r="AZ25" s="5"/>
      <c r="BA25" s="5"/>
      <c r="BB25" s="5"/>
      <c r="BC25" s="5"/>
      <c r="BE25" s="36"/>
      <c r="BF25" s="36"/>
      <c r="BG25" s="5"/>
      <c r="BH25" s="5"/>
      <c r="BI25" s="5"/>
      <c r="BJ25" s="5"/>
      <c r="BK25" s="5"/>
      <c r="BL25" s="5"/>
      <c r="BM25" s="5"/>
    </row>
    <row r="26" spans="2:65" x14ac:dyDescent="0.3">
      <c r="B26" s="7" t="s">
        <v>4</v>
      </c>
      <c r="C26" s="38">
        <v>3</v>
      </c>
      <c r="D26" s="38">
        <v>1</v>
      </c>
      <c r="E26" s="9" t="s">
        <v>12</v>
      </c>
      <c r="G26" s="29">
        <v>2</v>
      </c>
      <c r="H26" s="30">
        <v>3</v>
      </c>
      <c r="I26" s="22">
        <f>IF(AND(G26=$C26,H26=$D26),$I$2,0)</f>
        <v>0</v>
      </c>
      <c r="J26" s="54" t="str">
        <f>IF(AND(I26&amp;""="0",SIGN(G26-H26)=SIGN($C26-$D26)),$J$2,"0")</f>
        <v>0</v>
      </c>
      <c r="K26" s="8" t="str">
        <f>IF(AND(I26&amp;""="0",J26&amp;""="0"),"x","o")</f>
        <v>x</v>
      </c>
      <c r="L26" s="8" t="str">
        <f>IF(AND(J26=2,($C26-$D26)=(G26-H26)),$L$2,"x")</f>
        <v>x</v>
      </c>
      <c r="M26" s="8" t="str">
        <f>IF(AND(I26&amp;""="0",G26=$C26),$M$2,"x")</f>
        <v>x</v>
      </c>
      <c r="N26" s="54" t="str">
        <f>IF(AND(I26&amp;""="0",H26=$D26),$N$2,"x")</f>
        <v>x</v>
      </c>
      <c r="O26" s="9"/>
      <c r="Q26" s="29">
        <v>0</v>
      </c>
      <c r="R26" s="30">
        <v>0</v>
      </c>
      <c r="S26" s="22">
        <f>IF(AND(Q26=$C26,R26=$D26),$I$2,0)</f>
        <v>0</v>
      </c>
      <c r="T26" s="54" t="str">
        <f>IF(AND(S26&amp;""="0",SIGN(Q26-R26)=SIGN($C26-$D26)),$J$2,"0")</f>
        <v>0</v>
      </c>
      <c r="U26" s="8" t="str">
        <f>IF(AND(S26&amp;""="0",T26&amp;""="0"),"x","o")</f>
        <v>x</v>
      </c>
      <c r="V26" s="8" t="str">
        <f>IF(AND(T26=2,($C26-$D26)=(Q26-R26)),$L$2,"x")</f>
        <v>x</v>
      </c>
      <c r="W26" s="8" t="str">
        <f>IF(AND(S26&amp;""="0",Q26=$C26),$M$2,"x")</f>
        <v>x</v>
      </c>
      <c r="X26" s="54" t="str">
        <f>IF(AND(S26&amp;""="0",R26=$D26),$N$2,"x")</f>
        <v>x</v>
      </c>
      <c r="Y26" s="9"/>
      <c r="AA26" s="29">
        <v>0</v>
      </c>
      <c r="AB26" s="30">
        <v>0</v>
      </c>
      <c r="AC26" s="22">
        <f>IF(AND(AA26=$C26,AB26=$D26),$I$2,0)</f>
        <v>0</v>
      </c>
      <c r="AD26" s="54" t="str">
        <f>IF(AND(AC26&amp;""="0",SIGN(AA26-AB26)=SIGN($C26-$D26)),$J$2,"0")</f>
        <v>0</v>
      </c>
      <c r="AE26" s="8" t="str">
        <f>IF(AND(AC26&amp;""="0",AD26&amp;""="0"),"x","o")</f>
        <v>x</v>
      </c>
      <c r="AF26" s="8" t="str">
        <f>IF(AND(AD26=2,($C26-$D26)=(AA26-AB26)),$L$2,"x")</f>
        <v>x</v>
      </c>
      <c r="AG26" s="8" t="str">
        <f>IF(AND(AC26&amp;""="0",AA26=$C26),$M$2,"x")</f>
        <v>x</v>
      </c>
      <c r="AH26" s="54" t="str">
        <f>IF(AND(AC26&amp;""="0",AB26=$D26),$N$2,"x")</f>
        <v>x</v>
      </c>
      <c r="AI26" s="9"/>
      <c r="AK26" s="29">
        <v>1</v>
      </c>
      <c r="AL26" s="30">
        <v>3</v>
      </c>
      <c r="AM26" s="22">
        <f>IF(AND(AK26=$C26,AL26=$D26),$I$2,0)</f>
        <v>0</v>
      </c>
      <c r="AN26" s="54" t="str">
        <f>IF(AND(AM26&amp;""="0",SIGN(AK26-AL26)=SIGN($C26-$D26)),$J$2,"0")</f>
        <v>0</v>
      </c>
      <c r="AO26" s="8" t="str">
        <f>IF(AND(AM26&amp;""="0",AN26&amp;""="0"),"x","o")</f>
        <v>x</v>
      </c>
      <c r="AP26" s="8" t="str">
        <f>IF(AND(AN26=2,($C26-$D26)=(AK26-AL26)),$L$2,"x")</f>
        <v>x</v>
      </c>
      <c r="AQ26" s="8" t="str">
        <f>IF(AND(AM26&amp;""="0",AK26=$C26),$M$2,"x")</f>
        <v>x</v>
      </c>
      <c r="AR26" s="54" t="str">
        <f>IF(AND(AM26&amp;""="0",AL26=$D26),$N$2,"x")</f>
        <v>x</v>
      </c>
      <c r="AS26" s="9"/>
      <c r="AU26" s="29">
        <v>1</v>
      </c>
      <c r="AV26" s="30">
        <v>0</v>
      </c>
      <c r="AW26" s="22">
        <f>IF(AND(AU26=$C26,AV26=$D26),$I$2,0)</f>
        <v>0</v>
      </c>
      <c r="AX26" s="54">
        <f>IF(AND(AW26&amp;""="0",SIGN(AU26-AV26)=SIGN($C26-$D26)),$J$2,"0")</f>
        <v>2</v>
      </c>
      <c r="AY26" s="8" t="str">
        <f>IF(AND(AW26&amp;""="0",AX26&amp;""="0"),"x","o")</f>
        <v>o</v>
      </c>
      <c r="AZ26" s="8" t="str">
        <f>IF(AND(AX26=2,($C26-$D26)=(AU26-AV26)),$L$2,"x")</f>
        <v>x</v>
      </c>
      <c r="BA26" s="8" t="str">
        <f>IF(AND(AW26&amp;""="0",AU26=$C26),$M$2,"x")</f>
        <v>x</v>
      </c>
      <c r="BB26" s="54" t="str">
        <f>IF(AND(AW26&amp;""="0",AV26=$D26),$N$2,"x")</f>
        <v>x</v>
      </c>
      <c r="BC26" s="9"/>
      <c r="BE26" s="29">
        <v>1</v>
      </c>
      <c r="BF26" s="30">
        <v>0</v>
      </c>
      <c r="BG26" s="22">
        <f>IF(AND(BE26=$C26,BF26=$D26),$I$2,0)</f>
        <v>0</v>
      </c>
      <c r="BH26" s="54">
        <f>IF(AND(BG26&amp;""="0",SIGN(BE26-BF26)=SIGN($C26-$D26)),$J$2,"0")</f>
        <v>2</v>
      </c>
      <c r="BI26" s="8" t="str">
        <f>IF(AND(BG26&amp;""="0",BH26&amp;""="0"),"x","o")</f>
        <v>o</v>
      </c>
      <c r="BJ26" s="8" t="str">
        <f>IF(AND(BH26=2,($C26-$D26)=(BE26-BF26)),$L$2,"x")</f>
        <v>x</v>
      </c>
      <c r="BK26" s="8" t="str">
        <f>IF(AND(BG26&amp;""="0",BE26=$C26),$M$2,"x")</f>
        <v>x</v>
      </c>
      <c r="BL26" s="54" t="str">
        <f>IF(AND(BG26&amp;""="0",BF26=$D26),$N$2,"x")</f>
        <v>x</v>
      </c>
      <c r="BM26" s="9"/>
    </row>
    <row r="27" spans="2:65" x14ac:dyDescent="0.3">
      <c r="B27" s="10" t="s">
        <v>2</v>
      </c>
      <c r="C27" s="39">
        <v>3</v>
      </c>
      <c r="D27" s="39">
        <v>0</v>
      </c>
      <c r="E27" s="11" t="s">
        <v>8</v>
      </c>
      <c r="G27" s="31">
        <v>0</v>
      </c>
      <c r="H27" s="32">
        <v>2</v>
      </c>
      <c r="I27" s="23">
        <f t="shared" ref="I27:I33" si="90">IF(AND(G27=$C27,H27=$D27),$I$2,0)</f>
        <v>0</v>
      </c>
      <c r="J27" s="6" t="str">
        <f t="shared" ref="J27:J33" si="91">IF(AND(I27&amp;""="0",SIGN(G27-H27)=SIGN($C27-$D27)),$J$2,"0")</f>
        <v>0</v>
      </c>
      <c r="K27" s="6" t="str">
        <f t="shared" ref="K27:K33" si="92">IF(AND(I27&amp;""="0",J27&amp;""="0"),"x","o")</f>
        <v>x</v>
      </c>
      <c r="L27" s="6" t="str">
        <f t="shared" ref="L27:L33" si="93">IF(AND(J27=2,($C27-$D27)=(G27-H27)),$L$2,"x")</f>
        <v>x</v>
      </c>
      <c r="M27" s="6" t="str">
        <f t="shared" ref="M27:M33" si="94">IF(AND(I27&amp;""="0",G27=$C27),$M$2,"x")</f>
        <v>x</v>
      </c>
      <c r="N27" s="6" t="str">
        <f t="shared" ref="N27:N33" si="95">IF(AND(I27&amp;""="0",H27=$D27),$N$2,"x")</f>
        <v>x</v>
      </c>
      <c r="O27" s="11"/>
      <c r="Q27" s="31">
        <v>3</v>
      </c>
      <c r="R27" s="32">
        <v>2</v>
      </c>
      <c r="S27" s="23">
        <f t="shared" ref="S27:S34" si="96">IF(AND(Q27=$C27,R27=$D27),$I$2,0)</f>
        <v>0</v>
      </c>
      <c r="T27" s="6">
        <f t="shared" ref="T27:T34" si="97">IF(AND(S27&amp;""="0",SIGN(Q27-R27)=SIGN($C27-$D27)),$J$2,"0")</f>
        <v>2</v>
      </c>
      <c r="U27" s="6" t="str">
        <f t="shared" ref="U27:U34" si="98">IF(AND(S27&amp;""="0",T27&amp;""="0"),"x","o")</f>
        <v>o</v>
      </c>
      <c r="V27" s="6" t="str">
        <f t="shared" ref="V27:V34" si="99">IF(AND(T27=2,($C27-$D27)=(Q27-R27)),$L$2,"x")</f>
        <v>x</v>
      </c>
      <c r="W27" s="6">
        <f t="shared" ref="W27:W34" si="100">IF(AND(S27&amp;""="0",Q27=$C27),$M$2,"x")</f>
        <v>1</v>
      </c>
      <c r="X27" s="6" t="str">
        <f t="shared" ref="X27:X34" si="101">IF(AND(S27&amp;""="0",R27=$D27),$N$2,"x")</f>
        <v>x</v>
      </c>
      <c r="Y27" s="11"/>
      <c r="AA27" s="31">
        <v>1</v>
      </c>
      <c r="AB27" s="32">
        <v>3</v>
      </c>
      <c r="AC27" s="23">
        <f t="shared" ref="AC27:AC34" si="102">IF(AND(AA27=$C27,AB27=$D27),$I$2,0)</f>
        <v>0</v>
      </c>
      <c r="AD27" s="6" t="str">
        <f t="shared" ref="AD27:AD34" si="103">IF(AND(AC27&amp;""="0",SIGN(AA27-AB27)=SIGN($C27-$D27)),$J$2,"0")</f>
        <v>0</v>
      </c>
      <c r="AE27" s="6" t="str">
        <f t="shared" ref="AE27:AE34" si="104">IF(AND(AC27&amp;""="0",AD27&amp;""="0"),"x","o")</f>
        <v>x</v>
      </c>
      <c r="AF27" s="6" t="str">
        <f t="shared" ref="AF27:AF34" si="105">IF(AND(AD27=2,($C27-$D27)=(AA27-AB27)),$L$2,"x")</f>
        <v>x</v>
      </c>
      <c r="AG27" s="6" t="str">
        <f t="shared" ref="AG27:AG34" si="106">IF(AND(AC27&amp;""="0",AA27=$C27),$M$2,"x")</f>
        <v>x</v>
      </c>
      <c r="AH27" s="6" t="str">
        <f t="shared" ref="AH27:AH34" si="107">IF(AND(AC27&amp;""="0",AB27=$D27),$N$2,"x")</f>
        <v>x</v>
      </c>
      <c r="AI27" s="11"/>
      <c r="AK27" s="31">
        <v>0</v>
      </c>
      <c r="AL27" s="32">
        <v>1</v>
      </c>
      <c r="AM27" s="23">
        <f t="shared" ref="AM27:AM34" si="108">IF(AND(AK27=$C27,AL27=$D27),$I$2,0)</f>
        <v>0</v>
      </c>
      <c r="AN27" s="6" t="str">
        <f t="shared" ref="AN27:AN34" si="109">IF(AND(AM27&amp;""="0",SIGN(AK27-AL27)=SIGN($C27-$D27)),$J$2,"0")</f>
        <v>0</v>
      </c>
      <c r="AO27" s="6" t="str">
        <f t="shared" ref="AO27:AO34" si="110">IF(AND(AM27&amp;""="0",AN27&amp;""="0"),"x","o")</f>
        <v>x</v>
      </c>
      <c r="AP27" s="6" t="str">
        <f t="shared" ref="AP27:AP34" si="111">IF(AND(AN27=2,($C27-$D27)=(AK27-AL27)),$L$2,"x")</f>
        <v>x</v>
      </c>
      <c r="AQ27" s="6" t="str">
        <f t="shared" ref="AQ27:AQ34" si="112">IF(AND(AM27&amp;""="0",AK27=$C27),$M$2,"x")</f>
        <v>x</v>
      </c>
      <c r="AR27" s="6" t="str">
        <f t="shared" ref="AR27:AR34" si="113">IF(AND(AM27&amp;""="0",AL27=$D27),$N$2,"x")</f>
        <v>x</v>
      </c>
      <c r="AS27" s="11"/>
      <c r="AU27" s="31">
        <v>2</v>
      </c>
      <c r="AV27" s="32">
        <v>0</v>
      </c>
      <c r="AW27" s="23">
        <f t="shared" ref="AW27:AW34" si="114">IF(AND(AU27=$C27,AV27=$D27),$I$2,0)</f>
        <v>0</v>
      </c>
      <c r="AX27" s="6">
        <f t="shared" ref="AX27:AX34" si="115">IF(AND(AW27&amp;""="0",SIGN(AU27-AV27)=SIGN($C27-$D27)),$J$2,"0")</f>
        <v>2</v>
      </c>
      <c r="AY27" s="6" t="str">
        <f t="shared" ref="AY27:AY34" si="116">IF(AND(AW27&amp;""="0",AX27&amp;""="0"),"x","o")</f>
        <v>o</v>
      </c>
      <c r="AZ27" s="6" t="str">
        <f t="shared" ref="AZ27:AZ34" si="117">IF(AND(AX27=2,($C27-$D27)=(AU27-AV27)),$L$2,"x")</f>
        <v>x</v>
      </c>
      <c r="BA27" s="6" t="str">
        <f t="shared" ref="BA27:BA34" si="118">IF(AND(AW27&amp;""="0",AU27=$C27),$M$2,"x")</f>
        <v>x</v>
      </c>
      <c r="BB27" s="6">
        <f t="shared" ref="BB27:BB34" si="119">IF(AND(AW27&amp;""="0",AV27=$D27),$N$2,"x")</f>
        <v>1</v>
      </c>
      <c r="BC27" s="11"/>
      <c r="BE27" s="31">
        <v>3</v>
      </c>
      <c r="BF27" s="32">
        <v>0</v>
      </c>
      <c r="BG27" s="23">
        <f t="shared" ref="BG27:BG34" si="120">IF(AND(BE27=$C27,BF27=$D27),$I$2,0)</f>
        <v>10</v>
      </c>
      <c r="BH27" s="6" t="str">
        <f t="shared" ref="BH27:BH34" si="121">IF(AND(BG27&amp;""="0",SIGN(BE27-BF27)=SIGN($C27-$D27)),$J$2,"0")</f>
        <v>0</v>
      </c>
      <c r="BI27" s="6" t="str">
        <f t="shared" ref="BI27:BI34" si="122">IF(AND(BG27&amp;""="0",BH27&amp;""="0"),"x","o")</f>
        <v>o</v>
      </c>
      <c r="BJ27" s="6" t="str">
        <f t="shared" ref="BJ27:BJ34" si="123">IF(AND(BH27=2,($C27-$D27)=(BE27-BF27)),$L$2,"x")</f>
        <v>x</v>
      </c>
      <c r="BK27" s="6" t="str">
        <f t="shared" ref="BK27:BK34" si="124">IF(AND(BG27&amp;""="0",BE27=$C27),$M$2,"x")</f>
        <v>x</v>
      </c>
      <c r="BL27" s="6" t="str">
        <f t="shared" ref="BL27:BL34" si="125">IF(AND(BG27&amp;""="0",BF27=$D27),$N$2,"x")</f>
        <v>x</v>
      </c>
      <c r="BM27" s="11"/>
    </row>
    <row r="28" spans="2:65" x14ac:dyDescent="0.3">
      <c r="B28" s="10" t="s">
        <v>14</v>
      </c>
      <c r="C28" s="39">
        <v>2</v>
      </c>
      <c r="D28" s="39">
        <v>2</v>
      </c>
      <c r="E28" s="11" t="s">
        <v>16</v>
      </c>
      <c r="G28" s="31">
        <v>3</v>
      </c>
      <c r="H28" s="32">
        <v>0</v>
      </c>
      <c r="I28" s="23">
        <f t="shared" si="90"/>
        <v>0</v>
      </c>
      <c r="J28" s="55" t="str">
        <f t="shared" si="91"/>
        <v>0</v>
      </c>
      <c r="K28" s="6" t="str">
        <f t="shared" si="92"/>
        <v>x</v>
      </c>
      <c r="L28" s="6" t="str">
        <f t="shared" si="93"/>
        <v>x</v>
      </c>
      <c r="M28" s="6" t="str">
        <f t="shared" si="94"/>
        <v>x</v>
      </c>
      <c r="N28" s="6" t="str">
        <f t="shared" si="95"/>
        <v>x</v>
      </c>
      <c r="O28" s="11"/>
      <c r="Q28" s="31">
        <v>3</v>
      </c>
      <c r="R28" s="32">
        <v>2</v>
      </c>
      <c r="S28" s="23">
        <f t="shared" si="96"/>
        <v>0</v>
      </c>
      <c r="T28" s="55" t="str">
        <f t="shared" si="97"/>
        <v>0</v>
      </c>
      <c r="U28" s="6" t="str">
        <f t="shared" si="98"/>
        <v>x</v>
      </c>
      <c r="V28" s="6" t="str">
        <f t="shared" si="99"/>
        <v>x</v>
      </c>
      <c r="W28" s="6" t="str">
        <f t="shared" si="100"/>
        <v>x</v>
      </c>
      <c r="X28" s="6">
        <f t="shared" si="101"/>
        <v>1</v>
      </c>
      <c r="Y28" s="11"/>
      <c r="AA28" s="31">
        <v>1</v>
      </c>
      <c r="AB28" s="32">
        <v>2</v>
      </c>
      <c r="AC28" s="23">
        <f t="shared" si="102"/>
        <v>0</v>
      </c>
      <c r="AD28" s="55" t="str">
        <f t="shared" si="103"/>
        <v>0</v>
      </c>
      <c r="AE28" s="6" t="str">
        <f t="shared" si="104"/>
        <v>x</v>
      </c>
      <c r="AF28" s="6" t="str">
        <f t="shared" si="105"/>
        <v>x</v>
      </c>
      <c r="AG28" s="6" t="str">
        <f t="shared" si="106"/>
        <v>x</v>
      </c>
      <c r="AH28" s="6">
        <f t="shared" si="107"/>
        <v>1</v>
      </c>
      <c r="AI28" s="11"/>
      <c r="AK28" s="31">
        <v>0</v>
      </c>
      <c r="AL28" s="32">
        <v>0</v>
      </c>
      <c r="AM28" s="23">
        <f t="shared" si="108"/>
        <v>0</v>
      </c>
      <c r="AN28" s="55">
        <f t="shared" si="109"/>
        <v>2</v>
      </c>
      <c r="AO28" s="6" t="str">
        <f t="shared" si="110"/>
        <v>o</v>
      </c>
      <c r="AP28" s="6">
        <f t="shared" si="111"/>
        <v>1</v>
      </c>
      <c r="AQ28" s="6" t="str">
        <f t="shared" si="112"/>
        <v>x</v>
      </c>
      <c r="AR28" s="6" t="str">
        <f t="shared" si="113"/>
        <v>x</v>
      </c>
      <c r="AS28" s="11"/>
      <c r="AU28" s="31">
        <v>0</v>
      </c>
      <c r="AV28" s="32">
        <v>1</v>
      </c>
      <c r="AW28" s="23">
        <f t="shared" si="114"/>
        <v>0</v>
      </c>
      <c r="AX28" s="55" t="str">
        <f t="shared" si="115"/>
        <v>0</v>
      </c>
      <c r="AY28" s="6" t="str">
        <f t="shared" si="116"/>
        <v>x</v>
      </c>
      <c r="AZ28" s="6" t="str">
        <f t="shared" si="117"/>
        <v>x</v>
      </c>
      <c r="BA28" s="6" t="str">
        <f t="shared" si="118"/>
        <v>x</v>
      </c>
      <c r="BB28" s="6" t="str">
        <f t="shared" si="119"/>
        <v>x</v>
      </c>
      <c r="BC28" s="11"/>
      <c r="BE28" s="31">
        <v>3</v>
      </c>
      <c r="BF28" s="32">
        <v>2</v>
      </c>
      <c r="BG28" s="23">
        <f t="shared" si="120"/>
        <v>0</v>
      </c>
      <c r="BH28" s="55" t="str">
        <f t="shared" si="121"/>
        <v>0</v>
      </c>
      <c r="BI28" s="6" t="str">
        <f t="shared" si="122"/>
        <v>x</v>
      </c>
      <c r="BJ28" s="6" t="str">
        <f t="shared" si="123"/>
        <v>x</v>
      </c>
      <c r="BK28" s="6" t="str">
        <f t="shared" si="124"/>
        <v>x</v>
      </c>
      <c r="BL28" s="6">
        <f t="shared" si="125"/>
        <v>1</v>
      </c>
      <c r="BM28" s="11"/>
    </row>
    <row r="29" spans="2:65" x14ac:dyDescent="0.3">
      <c r="B29" s="10" t="s">
        <v>11</v>
      </c>
      <c r="C29" s="39">
        <v>3</v>
      </c>
      <c r="D29" s="39">
        <v>3</v>
      </c>
      <c r="E29" s="11" t="s">
        <v>0</v>
      </c>
      <c r="G29" s="31">
        <v>3</v>
      </c>
      <c r="H29" s="32">
        <v>0</v>
      </c>
      <c r="I29" s="23">
        <f t="shared" si="90"/>
        <v>0</v>
      </c>
      <c r="J29" s="6" t="str">
        <f t="shared" si="91"/>
        <v>0</v>
      </c>
      <c r="K29" s="6" t="str">
        <f t="shared" si="92"/>
        <v>x</v>
      </c>
      <c r="L29" s="6" t="str">
        <f t="shared" si="93"/>
        <v>x</v>
      </c>
      <c r="M29" s="6">
        <f t="shared" si="94"/>
        <v>1</v>
      </c>
      <c r="N29" s="6" t="str">
        <f t="shared" si="95"/>
        <v>x</v>
      </c>
      <c r="O29" s="11"/>
      <c r="Q29" s="31">
        <v>3</v>
      </c>
      <c r="R29" s="32">
        <v>3</v>
      </c>
      <c r="S29" s="23">
        <f t="shared" si="96"/>
        <v>10</v>
      </c>
      <c r="T29" s="6" t="str">
        <f t="shared" si="97"/>
        <v>0</v>
      </c>
      <c r="U29" s="6" t="str">
        <f t="shared" si="98"/>
        <v>o</v>
      </c>
      <c r="V29" s="6" t="str">
        <f t="shared" si="99"/>
        <v>x</v>
      </c>
      <c r="W29" s="6" t="str">
        <f t="shared" si="100"/>
        <v>x</v>
      </c>
      <c r="X29" s="6" t="str">
        <f t="shared" si="101"/>
        <v>x</v>
      </c>
      <c r="Y29" s="11"/>
      <c r="AA29" s="31">
        <v>0</v>
      </c>
      <c r="AB29" s="32">
        <v>0</v>
      </c>
      <c r="AC29" s="23">
        <f t="shared" si="102"/>
        <v>0</v>
      </c>
      <c r="AD29" s="6">
        <f t="shared" si="103"/>
        <v>2</v>
      </c>
      <c r="AE29" s="6" t="str">
        <f t="shared" si="104"/>
        <v>o</v>
      </c>
      <c r="AF29" s="6">
        <f t="shared" si="105"/>
        <v>1</v>
      </c>
      <c r="AG29" s="6" t="str">
        <f t="shared" si="106"/>
        <v>x</v>
      </c>
      <c r="AH29" s="6" t="str">
        <f t="shared" si="107"/>
        <v>x</v>
      </c>
      <c r="AI29" s="11"/>
      <c r="AK29" s="31">
        <v>1</v>
      </c>
      <c r="AL29" s="32">
        <v>2</v>
      </c>
      <c r="AM29" s="23">
        <f t="shared" si="108"/>
        <v>0</v>
      </c>
      <c r="AN29" s="6" t="str">
        <f t="shared" si="109"/>
        <v>0</v>
      </c>
      <c r="AO29" s="6" t="str">
        <f t="shared" si="110"/>
        <v>x</v>
      </c>
      <c r="AP29" s="6" t="str">
        <f t="shared" si="111"/>
        <v>x</v>
      </c>
      <c r="AQ29" s="6" t="str">
        <f t="shared" si="112"/>
        <v>x</v>
      </c>
      <c r="AR29" s="6" t="str">
        <f t="shared" si="113"/>
        <v>x</v>
      </c>
      <c r="AS29" s="11"/>
      <c r="AU29" s="31">
        <v>2</v>
      </c>
      <c r="AV29" s="32">
        <v>2</v>
      </c>
      <c r="AW29" s="23">
        <f t="shared" si="114"/>
        <v>0</v>
      </c>
      <c r="AX29" s="6">
        <f t="shared" si="115"/>
        <v>2</v>
      </c>
      <c r="AY29" s="6" t="str">
        <f t="shared" si="116"/>
        <v>o</v>
      </c>
      <c r="AZ29" s="6">
        <f t="shared" si="117"/>
        <v>1</v>
      </c>
      <c r="BA29" s="6" t="str">
        <f t="shared" si="118"/>
        <v>x</v>
      </c>
      <c r="BB29" s="6" t="str">
        <f t="shared" si="119"/>
        <v>x</v>
      </c>
      <c r="BC29" s="11"/>
      <c r="BE29" s="31">
        <v>2</v>
      </c>
      <c r="BF29" s="32">
        <v>1</v>
      </c>
      <c r="BG29" s="23">
        <f t="shared" si="120"/>
        <v>0</v>
      </c>
      <c r="BH29" s="6" t="str">
        <f t="shared" si="121"/>
        <v>0</v>
      </c>
      <c r="BI29" s="6" t="str">
        <f t="shared" si="122"/>
        <v>x</v>
      </c>
      <c r="BJ29" s="6" t="str">
        <f t="shared" si="123"/>
        <v>x</v>
      </c>
      <c r="BK29" s="6" t="str">
        <f t="shared" si="124"/>
        <v>x</v>
      </c>
      <c r="BL29" s="6" t="str">
        <f t="shared" si="125"/>
        <v>x</v>
      </c>
      <c r="BM29" s="11"/>
    </row>
    <row r="30" spans="2:65" x14ac:dyDescent="0.3">
      <c r="B30" s="10" t="s">
        <v>10</v>
      </c>
      <c r="C30" s="39">
        <v>1</v>
      </c>
      <c r="D30" s="39">
        <v>0</v>
      </c>
      <c r="E30" s="11" t="s">
        <v>9</v>
      </c>
      <c r="G30" s="31">
        <v>2</v>
      </c>
      <c r="H30" s="32">
        <v>0</v>
      </c>
      <c r="I30" s="23">
        <f t="shared" si="90"/>
        <v>0</v>
      </c>
      <c r="J30" s="6">
        <f t="shared" si="91"/>
        <v>2</v>
      </c>
      <c r="K30" s="6" t="str">
        <f t="shared" si="92"/>
        <v>o</v>
      </c>
      <c r="L30" s="6" t="str">
        <f t="shared" si="93"/>
        <v>x</v>
      </c>
      <c r="M30" s="6" t="str">
        <f t="shared" si="94"/>
        <v>x</v>
      </c>
      <c r="N30" s="6">
        <f t="shared" si="95"/>
        <v>1</v>
      </c>
      <c r="O30" s="11"/>
      <c r="Q30" s="31">
        <v>1</v>
      </c>
      <c r="R30" s="32">
        <v>3</v>
      </c>
      <c r="S30" s="23">
        <f t="shared" si="96"/>
        <v>0</v>
      </c>
      <c r="T30" s="6" t="str">
        <f t="shared" si="97"/>
        <v>0</v>
      </c>
      <c r="U30" s="6" t="str">
        <f t="shared" si="98"/>
        <v>x</v>
      </c>
      <c r="V30" s="6" t="str">
        <f t="shared" si="99"/>
        <v>x</v>
      </c>
      <c r="W30" s="6">
        <f t="shared" si="100"/>
        <v>1</v>
      </c>
      <c r="X30" s="6" t="str">
        <f t="shared" si="101"/>
        <v>x</v>
      </c>
      <c r="Y30" s="11"/>
      <c r="AA30" s="31">
        <v>0</v>
      </c>
      <c r="AB30" s="32">
        <v>3</v>
      </c>
      <c r="AC30" s="23">
        <f t="shared" si="102"/>
        <v>0</v>
      </c>
      <c r="AD30" s="6" t="str">
        <f t="shared" si="103"/>
        <v>0</v>
      </c>
      <c r="AE30" s="6" t="str">
        <f t="shared" si="104"/>
        <v>x</v>
      </c>
      <c r="AF30" s="6" t="str">
        <f t="shared" si="105"/>
        <v>x</v>
      </c>
      <c r="AG30" s="6" t="str">
        <f t="shared" si="106"/>
        <v>x</v>
      </c>
      <c r="AH30" s="6" t="str">
        <f t="shared" si="107"/>
        <v>x</v>
      </c>
      <c r="AI30" s="11"/>
      <c r="AK30" s="31">
        <v>3</v>
      </c>
      <c r="AL30" s="32">
        <v>0</v>
      </c>
      <c r="AM30" s="23">
        <f t="shared" si="108"/>
        <v>0</v>
      </c>
      <c r="AN30" s="6">
        <f t="shared" si="109"/>
        <v>2</v>
      </c>
      <c r="AO30" s="6" t="str">
        <f t="shared" si="110"/>
        <v>o</v>
      </c>
      <c r="AP30" s="6" t="str">
        <f t="shared" si="111"/>
        <v>x</v>
      </c>
      <c r="AQ30" s="6" t="str">
        <f t="shared" si="112"/>
        <v>x</v>
      </c>
      <c r="AR30" s="6">
        <f t="shared" si="113"/>
        <v>1</v>
      </c>
      <c r="AS30" s="11"/>
      <c r="AU30" s="31">
        <v>1</v>
      </c>
      <c r="AV30" s="32">
        <v>3</v>
      </c>
      <c r="AW30" s="23">
        <f t="shared" si="114"/>
        <v>0</v>
      </c>
      <c r="AX30" s="6" t="str">
        <f t="shared" si="115"/>
        <v>0</v>
      </c>
      <c r="AY30" s="6" t="str">
        <f t="shared" si="116"/>
        <v>x</v>
      </c>
      <c r="AZ30" s="6" t="str">
        <f t="shared" si="117"/>
        <v>x</v>
      </c>
      <c r="BA30" s="6">
        <f t="shared" si="118"/>
        <v>1</v>
      </c>
      <c r="BB30" s="6" t="str">
        <f t="shared" si="119"/>
        <v>x</v>
      </c>
      <c r="BC30" s="11"/>
      <c r="BE30" s="31">
        <v>2</v>
      </c>
      <c r="BF30" s="32">
        <v>0</v>
      </c>
      <c r="BG30" s="23">
        <f t="shared" si="120"/>
        <v>0</v>
      </c>
      <c r="BH30" s="6">
        <f t="shared" si="121"/>
        <v>2</v>
      </c>
      <c r="BI30" s="6" t="str">
        <f t="shared" si="122"/>
        <v>o</v>
      </c>
      <c r="BJ30" s="6" t="str">
        <f t="shared" si="123"/>
        <v>x</v>
      </c>
      <c r="BK30" s="6" t="str">
        <f t="shared" si="124"/>
        <v>x</v>
      </c>
      <c r="BL30" s="6">
        <f t="shared" si="125"/>
        <v>1</v>
      </c>
      <c r="BM30" s="11"/>
    </row>
    <row r="31" spans="2:65" x14ac:dyDescent="0.3">
      <c r="B31" s="10" t="s">
        <v>13</v>
      </c>
      <c r="C31" s="39">
        <v>0</v>
      </c>
      <c r="D31" s="39">
        <v>2</v>
      </c>
      <c r="E31" s="11" t="s">
        <v>6</v>
      </c>
      <c r="G31" s="31">
        <v>0</v>
      </c>
      <c r="H31" s="32">
        <v>0</v>
      </c>
      <c r="I31" s="23">
        <f t="shared" si="90"/>
        <v>0</v>
      </c>
      <c r="J31" s="6" t="str">
        <f t="shared" si="91"/>
        <v>0</v>
      </c>
      <c r="K31" s="6" t="str">
        <f t="shared" si="92"/>
        <v>x</v>
      </c>
      <c r="L31" s="6" t="str">
        <f t="shared" si="93"/>
        <v>x</v>
      </c>
      <c r="M31" s="6">
        <f t="shared" si="94"/>
        <v>1</v>
      </c>
      <c r="N31" s="6" t="str">
        <f t="shared" si="95"/>
        <v>x</v>
      </c>
      <c r="O31" s="11"/>
      <c r="Q31" s="31">
        <v>0</v>
      </c>
      <c r="R31" s="32">
        <v>3</v>
      </c>
      <c r="S31" s="23">
        <f t="shared" si="96"/>
        <v>0</v>
      </c>
      <c r="T31" s="6">
        <f t="shared" si="97"/>
        <v>2</v>
      </c>
      <c r="U31" s="6" t="str">
        <f t="shared" si="98"/>
        <v>o</v>
      </c>
      <c r="V31" s="6" t="str">
        <f t="shared" si="99"/>
        <v>x</v>
      </c>
      <c r="W31" s="6">
        <f t="shared" si="100"/>
        <v>1</v>
      </c>
      <c r="X31" s="6" t="str">
        <f t="shared" si="101"/>
        <v>x</v>
      </c>
      <c r="Y31" s="11"/>
      <c r="AA31" s="31">
        <v>3</v>
      </c>
      <c r="AB31" s="32">
        <v>0</v>
      </c>
      <c r="AC31" s="23">
        <f t="shared" si="102"/>
        <v>0</v>
      </c>
      <c r="AD31" s="6" t="str">
        <f t="shared" si="103"/>
        <v>0</v>
      </c>
      <c r="AE31" s="6" t="str">
        <f t="shared" si="104"/>
        <v>x</v>
      </c>
      <c r="AF31" s="6" t="str">
        <f t="shared" si="105"/>
        <v>x</v>
      </c>
      <c r="AG31" s="6" t="str">
        <f t="shared" si="106"/>
        <v>x</v>
      </c>
      <c r="AH31" s="6" t="str">
        <f t="shared" si="107"/>
        <v>x</v>
      </c>
      <c r="AI31" s="11"/>
      <c r="AK31" s="31">
        <v>3</v>
      </c>
      <c r="AL31" s="32">
        <v>2</v>
      </c>
      <c r="AM31" s="23">
        <f t="shared" si="108"/>
        <v>0</v>
      </c>
      <c r="AN31" s="6" t="str">
        <f t="shared" si="109"/>
        <v>0</v>
      </c>
      <c r="AO31" s="6" t="str">
        <f t="shared" si="110"/>
        <v>x</v>
      </c>
      <c r="AP31" s="6" t="str">
        <f t="shared" si="111"/>
        <v>x</v>
      </c>
      <c r="AQ31" s="6" t="str">
        <f t="shared" si="112"/>
        <v>x</v>
      </c>
      <c r="AR31" s="6">
        <f t="shared" si="113"/>
        <v>1</v>
      </c>
      <c r="AS31" s="11"/>
      <c r="AU31" s="31">
        <v>2</v>
      </c>
      <c r="AV31" s="32">
        <v>2</v>
      </c>
      <c r="AW31" s="23">
        <f t="shared" si="114"/>
        <v>0</v>
      </c>
      <c r="AX31" s="6" t="str">
        <f t="shared" si="115"/>
        <v>0</v>
      </c>
      <c r="AY31" s="6" t="str">
        <f t="shared" si="116"/>
        <v>x</v>
      </c>
      <c r="AZ31" s="6" t="str">
        <f t="shared" si="117"/>
        <v>x</v>
      </c>
      <c r="BA31" s="6" t="str">
        <f t="shared" si="118"/>
        <v>x</v>
      </c>
      <c r="BB31" s="6">
        <f t="shared" si="119"/>
        <v>1</v>
      </c>
      <c r="BC31" s="11"/>
      <c r="BE31" s="31">
        <v>0</v>
      </c>
      <c r="BF31" s="32">
        <v>3</v>
      </c>
      <c r="BG31" s="23">
        <f t="shared" si="120"/>
        <v>0</v>
      </c>
      <c r="BH31" s="6">
        <f t="shared" si="121"/>
        <v>2</v>
      </c>
      <c r="BI31" s="6" t="str">
        <f t="shared" si="122"/>
        <v>o</v>
      </c>
      <c r="BJ31" s="6" t="str">
        <f t="shared" si="123"/>
        <v>x</v>
      </c>
      <c r="BK31" s="6">
        <f t="shared" si="124"/>
        <v>1</v>
      </c>
      <c r="BL31" s="6" t="str">
        <f t="shared" si="125"/>
        <v>x</v>
      </c>
      <c r="BM31" s="11"/>
    </row>
    <row r="32" spans="2:65" x14ac:dyDescent="0.3">
      <c r="B32" s="10" t="s">
        <v>15</v>
      </c>
      <c r="C32" s="39">
        <v>1</v>
      </c>
      <c r="D32" s="39">
        <v>3</v>
      </c>
      <c r="E32" s="11" t="s">
        <v>1</v>
      </c>
      <c r="G32" s="31">
        <v>0</v>
      </c>
      <c r="H32" s="32">
        <v>2</v>
      </c>
      <c r="I32" s="23">
        <f t="shared" si="90"/>
        <v>0</v>
      </c>
      <c r="J32" s="6">
        <f t="shared" si="91"/>
        <v>2</v>
      </c>
      <c r="K32" s="6" t="str">
        <f t="shared" si="92"/>
        <v>o</v>
      </c>
      <c r="L32" s="6">
        <f t="shared" si="93"/>
        <v>1</v>
      </c>
      <c r="M32" s="6" t="str">
        <f t="shared" si="94"/>
        <v>x</v>
      </c>
      <c r="N32" s="55" t="str">
        <f t="shared" si="95"/>
        <v>x</v>
      </c>
      <c r="O32" s="11"/>
      <c r="Q32" s="31">
        <v>1</v>
      </c>
      <c r="R32" s="32">
        <v>1</v>
      </c>
      <c r="S32" s="23">
        <f t="shared" si="96"/>
        <v>0</v>
      </c>
      <c r="T32" s="6" t="str">
        <f t="shared" si="97"/>
        <v>0</v>
      </c>
      <c r="U32" s="6" t="str">
        <f t="shared" si="98"/>
        <v>x</v>
      </c>
      <c r="V32" s="6" t="str">
        <f t="shared" si="99"/>
        <v>x</v>
      </c>
      <c r="W32" s="6">
        <f t="shared" si="100"/>
        <v>1</v>
      </c>
      <c r="X32" s="55" t="str">
        <f t="shared" si="101"/>
        <v>x</v>
      </c>
      <c r="Y32" s="11"/>
      <c r="AA32" s="31">
        <v>2</v>
      </c>
      <c r="AB32" s="32">
        <v>3</v>
      </c>
      <c r="AC32" s="23">
        <f t="shared" si="102"/>
        <v>0</v>
      </c>
      <c r="AD32" s="6">
        <f t="shared" si="103"/>
        <v>2</v>
      </c>
      <c r="AE32" s="6" t="str">
        <f t="shared" si="104"/>
        <v>o</v>
      </c>
      <c r="AF32" s="6" t="str">
        <f t="shared" si="105"/>
        <v>x</v>
      </c>
      <c r="AG32" s="6" t="str">
        <f t="shared" si="106"/>
        <v>x</v>
      </c>
      <c r="AH32" s="55">
        <f t="shared" si="107"/>
        <v>1</v>
      </c>
      <c r="AI32" s="11"/>
      <c r="AK32" s="31">
        <v>0</v>
      </c>
      <c r="AL32" s="32">
        <v>2</v>
      </c>
      <c r="AM32" s="23">
        <f t="shared" si="108"/>
        <v>0</v>
      </c>
      <c r="AN32" s="6">
        <f t="shared" si="109"/>
        <v>2</v>
      </c>
      <c r="AO32" s="6" t="str">
        <f t="shared" si="110"/>
        <v>o</v>
      </c>
      <c r="AP32" s="6">
        <f t="shared" si="111"/>
        <v>1</v>
      </c>
      <c r="AQ32" s="6" t="str">
        <f t="shared" si="112"/>
        <v>x</v>
      </c>
      <c r="AR32" s="55" t="str">
        <f t="shared" si="113"/>
        <v>x</v>
      </c>
      <c r="AS32" s="11"/>
      <c r="AU32" s="31">
        <v>3</v>
      </c>
      <c r="AV32" s="32">
        <v>1</v>
      </c>
      <c r="AW32" s="23">
        <f t="shared" si="114"/>
        <v>0</v>
      </c>
      <c r="AX32" s="6" t="str">
        <f t="shared" si="115"/>
        <v>0</v>
      </c>
      <c r="AY32" s="6" t="str">
        <f t="shared" si="116"/>
        <v>x</v>
      </c>
      <c r="AZ32" s="6" t="str">
        <f t="shared" si="117"/>
        <v>x</v>
      </c>
      <c r="BA32" s="6" t="str">
        <f t="shared" si="118"/>
        <v>x</v>
      </c>
      <c r="BB32" s="55" t="str">
        <f t="shared" si="119"/>
        <v>x</v>
      </c>
      <c r="BC32" s="11"/>
      <c r="BE32" s="31">
        <v>3</v>
      </c>
      <c r="BF32" s="32">
        <v>0</v>
      </c>
      <c r="BG32" s="23">
        <f t="shared" si="120"/>
        <v>0</v>
      </c>
      <c r="BH32" s="6" t="str">
        <f t="shared" si="121"/>
        <v>0</v>
      </c>
      <c r="BI32" s="6" t="str">
        <f t="shared" si="122"/>
        <v>x</v>
      </c>
      <c r="BJ32" s="6" t="str">
        <f t="shared" si="123"/>
        <v>x</v>
      </c>
      <c r="BK32" s="6" t="str">
        <f t="shared" si="124"/>
        <v>x</v>
      </c>
      <c r="BL32" s="55" t="str">
        <f t="shared" si="125"/>
        <v>x</v>
      </c>
      <c r="BM32" s="11"/>
    </row>
    <row r="33" spans="2:65" x14ac:dyDescent="0.3">
      <c r="B33" s="10" t="s">
        <v>3</v>
      </c>
      <c r="C33" s="39">
        <v>3</v>
      </c>
      <c r="D33" s="39">
        <v>2</v>
      </c>
      <c r="E33" s="11" t="s">
        <v>5</v>
      </c>
      <c r="G33" s="31">
        <v>2</v>
      </c>
      <c r="H33" s="32">
        <v>1</v>
      </c>
      <c r="I33" s="23">
        <f t="shared" si="90"/>
        <v>0</v>
      </c>
      <c r="J33" s="55">
        <f t="shared" si="91"/>
        <v>2</v>
      </c>
      <c r="K33" s="6" t="str">
        <f t="shared" si="92"/>
        <v>o</v>
      </c>
      <c r="L33" s="6">
        <f t="shared" si="93"/>
        <v>1</v>
      </c>
      <c r="M33" s="6" t="str">
        <f t="shared" si="94"/>
        <v>x</v>
      </c>
      <c r="N33" s="6" t="str">
        <f t="shared" si="95"/>
        <v>x</v>
      </c>
      <c r="O33" s="11"/>
      <c r="Q33" s="31">
        <v>3</v>
      </c>
      <c r="R33" s="32">
        <v>2</v>
      </c>
      <c r="S33" s="23">
        <f t="shared" si="96"/>
        <v>10</v>
      </c>
      <c r="T33" s="55" t="str">
        <f t="shared" si="97"/>
        <v>0</v>
      </c>
      <c r="U33" s="6" t="str">
        <f t="shared" si="98"/>
        <v>o</v>
      </c>
      <c r="V33" s="6" t="str">
        <f t="shared" si="99"/>
        <v>x</v>
      </c>
      <c r="W33" s="6" t="str">
        <f t="shared" si="100"/>
        <v>x</v>
      </c>
      <c r="X33" s="6" t="str">
        <f t="shared" si="101"/>
        <v>x</v>
      </c>
      <c r="Y33" s="11"/>
      <c r="AA33" s="31">
        <v>1</v>
      </c>
      <c r="AB33" s="32">
        <v>0</v>
      </c>
      <c r="AC33" s="23">
        <f t="shared" si="102"/>
        <v>0</v>
      </c>
      <c r="AD33" s="55">
        <f t="shared" si="103"/>
        <v>2</v>
      </c>
      <c r="AE33" s="6" t="str">
        <f t="shared" si="104"/>
        <v>o</v>
      </c>
      <c r="AF33" s="6">
        <f t="shared" si="105"/>
        <v>1</v>
      </c>
      <c r="AG33" s="6" t="str">
        <f t="shared" si="106"/>
        <v>x</v>
      </c>
      <c r="AH33" s="6" t="str">
        <f t="shared" si="107"/>
        <v>x</v>
      </c>
      <c r="AI33" s="11"/>
      <c r="AK33" s="31">
        <v>0</v>
      </c>
      <c r="AL33" s="32">
        <v>1</v>
      </c>
      <c r="AM33" s="23">
        <f t="shared" si="108"/>
        <v>0</v>
      </c>
      <c r="AN33" s="55" t="str">
        <f t="shared" si="109"/>
        <v>0</v>
      </c>
      <c r="AO33" s="6" t="str">
        <f t="shared" si="110"/>
        <v>x</v>
      </c>
      <c r="AP33" s="6" t="str">
        <f t="shared" si="111"/>
        <v>x</v>
      </c>
      <c r="AQ33" s="6" t="str">
        <f t="shared" si="112"/>
        <v>x</v>
      </c>
      <c r="AR33" s="6" t="str">
        <f t="shared" si="113"/>
        <v>x</v>
      </c>
      <c r="AS33" s="11"/>
      <c r="AU33" s="31">
        <v>2</v>
      </c>
      <c r="AV33" s="32">
        <v>3</v>
      </c>
      <c r="AW33" s="23">
        <f t="shared" si="114"/>
        <v>0</v>
      </c>
      <c r="AX33" s="55" t="str">
        <f t="shared" si="115"/>
        <v>0</v>
      </c>
      <c r="AY33" s="6" t="str">
        <f t="shared" si="116"/>
        <v>x</v>
      </c>
      <c r="AZ33" s="6" t="str">
        <f t="shared" si="117"/>
        <v>x</v>
      </c>
      <c r="BA33" s="6" t="str">
        <f t="shared" si="118"/>
        <v>x</v>
      </c>
      <c r="BB33" s="6" t="str">
        <f t="shared" si="119"/>
        <v>x</v>
      </c>
      <c r="BC33" s="11"/>
      <c r="BE33" s="31">
        <v>3</v>
      </c>
      <c r="BF33" s="32">
        <v>1</v>
      </c>
      <c r="BG33" s="23">
        <f t="shared" si="120"/>
        <v>0</v>
      </c>
      <c r="BH33" s="55">
        <f t="shared" si="121"/>
        <v>2</v>
      </c>
      <c r="BI33" s="6" t="str">
        <f t="shared" si="122"/>
        <v>o</v>
      </c>
      <c r="BJ33" s="6" t="str">
        <f t="shared" si="123"/>
        <v>x</v>
      </c>
      <c r="BK33" s="6">
        <f t="shared" si="124"/>
        <v>1</v>
      </c>
      <c r="BL33" s="6" t="str">
        <f t="shared" si="125"/>
        <v>x</v>
      </c>
      <c r="BM33" s="11"/>
    </row>
    <row r="34" spans="2:65" ht="16.2" thickBot="1" x14ac:dyDescent="0.35">
      <c r="B34" s="12" t="s">
        <v>7</v>
      </c>
      <c r="C34" s="40">
        <v>1</v>
      </c>
      <c r="D34" s="40">
        <v>1</v>
      </c>
      <c r="E34" s="14" t="s">
        <v>17</v>
      </c>
      <c r="G34" s="33">
        <v>3</v>
      </c>
      <c r="H34" s="34">
        <v>1</v>
      </c>
      <c r="I34" s="24">
        <f t="shared" ref="I34" si="126">IF(AND(G34=$C34,H34=$D34),$I$2,0)</f>
        <v>0</v>
      </c>
      <c r="J34" s="13" t="str">
        <f t="shared" ref="J34" si="127">IF(AND(I34&amp;""="0",SIGN(G34-H34)=SIGN($C34-$D34)),$J$2,"0")</f>
        <v>0</v>
      </c>
      <c r="K34" s="13" t="str">
        <f t="shared" ref="K34" si="128">IF(AND(I34&amp;""="0",J34&amp;""="0"),"x","o")</f>
        <v>x</v>
      </c>
      <c r="L34" s="13" t="str">
        <f t="shared" ref="L34" si="129">IF(AND(J34=2,($C34-$D34)=(G34-H34)),$L$2,"x")</f>
        <v>x</v>
      </c>
      <c r="M34" s="26" t="str">
        <f t="shared" ref="M34" si="130">IF(AND(I34&amp;""="0",G34=$C34),$M$2,"x")</f>
        <v>x</v>
      </c>
      <c r="N34" s="58">
        <f t="shared" ref="N34" si="131">IF(AND(I34&amp;""="0",H34=$D34),$N$2,"x")</f>
        <v>1</v>
      </c>
      <c r="O34" s="14"/>
      <c r="Q34" s="33">
        <v>1</v>
      </c>
      <c r="R34" s="34">
        <v>3</v>
      </c>
      <c r="S34" s="24">
        <f t="shared" si="96"/>
        <v>0</v>
      </c>
      <c r="T34" s="13" t="str">
        <f t="shared" si="97"/>
        <v>0</v>
      </c>
      <c r="U34" s="13" t="str">
        <f t="shared" si="98"/>
        <v>x</v>
      </c>
      <c r="V34" s="13" t="str">
        <f t="shared" si="99"/>
        <v>x</v>
      </c>
      <c r="W34" s="26">
        <f t="shared" si="100"/>
        <v>1</v>
      </c>
      <c r="X34" s="58" t="str">
        <f t="shared" si="101"/>
        <v>x</v>
      </c>
      <c r="Y34" s="14"/>
      <c r="AA34" s="33">
        <v>0</v>
      </c>
      <c r="AB34" s="34">
        <v>1</v>
      </c>
      <c r="AC34" s="24">
        <f t="shared" si="102"/>
        <v>0</v>
      </c>
      <c r="AD34" s="13" t="str">
        <f t="shared" si="103"/>
        <v>0</v>
      </c>
      <c r="AE34" s="13" t="str">
        <f t="shared" si="104"/>
        <v>x</v>
      </c>
      <c r="AF34" s="13" t="str">
        <f t="shared" si="105"/>
        <v>x</v>
      </c>
      <c r="AG34" s="26" t="str">
        <f t="shared" si="106"/>
        <v>x</v>
      </c>
      <c r="AH34" s="58">
        <f t="shared" si="107"/>
        <v>1</v>
      </c>
      <c r="AI34" s="14"/>
      <c r="AK34" s="33">
        <v>3</v>
      </c>
      <c r="AL34" s="34">
        <v>1</v>
      </c>
      <c r="AM34" s="24">
        <f t="shared" si="108"/>
        <v>0</v>
      </c>
      <c r="AN34" s="13" t="str">
        <f t="shared" si="109"/>
        <v>0</v>
      </c>
      <c r="AO34" s="13" t="str">
        <f t="shared" si="110"/>
        <v>x</v>
      </c>
      <c r="AP34" s="13" t="str">
        <f t="shared" si="111"/>
        <v>x</v>
      </c>
      <c r="AQ34" s="26" t="str">
        <f t="shared" si="112"/>
        <v>x</v>
      </c>
      <c r="AR34" s="58">
        <f t="shared" si="113"/>
        <v>1</v>
      </c>
      <c r="AS34" s="14"/>
      <c r="AU34" s="33">
        <v>0</v>
      </c>
      <c r="AV34" s="34">
        <v>3</v>
      </c>
      <c r="AW34" s="24">
        <f t="shared" si="114"/>
        <v>0</v>
      </c>
      <c r="AX34" s="13" t="str">
        <f t="shared" si="115"/>
        <v>0</v>
      </c>
      <c r="AY34" s="13" t="str">
        <f t="shared" si="116"/>
        <v>x</v>
      </c>
      <c r="AZ34" s="13" t="str">
        <f t="shared" si="117"/>
        <v>x</v>
      </c>
      <c r="BA34" s="26" t="str">
        <f t="shared" si="118"/>
        <v>x</v>
      </c>
      <c r="BB34" s="58" t="str">
        <f t="shared" si="119"/>
        <v>x</v>
      </c>
      <c r="BC34" s="14"/>
      <c r="BE34" s="33">
        <v>0</v>
      </c>
      <c r="BF34" s="34">
        <v>0</v>
      </c>
      <c r="BG34" s="24">
        <f t="shared" si="120"/>
        <v>0</v>
      </c>
      <c r="BH34" s="13">
        <f t="shared" si="121"/>
        <v>2</v>
      </c>
      <c r="BI34" s="13" t="str">
        <f t="shared" si="122"/>
        <v>o</v>
      </c>
      <c r="BJ34" s="13">
        <f t="shared" si="123"/>
        <v>1</v>
      </c>
      <c r="BK34" s="26" t="str">
        <f t="shared" si="124"/>
        <v>x</v>
      </c>
      <c r="BL34" s="58" t="str">
        <f t="shared" si="125"/>
        <v>x</v>
      </c>
      <c r="BM34" s="14"/>
    </row>
    <row r="35" spans="2:65" s="42" customFormat="1" ht="21.6" thickBot="1" x14ac:dyDescent="0.45">
      <c r="B35" s="35"/>
      <c r="C35" s="35"/>
      <c r="D35" s="35"/>
      <c r="E35" s="35"/>
      <c r="G35" s="47">
        <f>SUM(I35:O35)</f>
        <v>12</v>
      </c>
      <c r="H35" s="35"/>
      <c r="I35" s="43">
        <f t="shared" ref="I35:N35" si="132">SUM(I26:I34)</f>
        <v>0</v>
      </c>
      <c r="J35" s="56">
        <f t="shared" si="132"/>
        <v>6</v>
      </c>
      <c r="K35" s="44">
        <f t="shared" si="132"/>
        <v>0</v>
      </c>
      <c r="L35" s="56">
        <f t="shared" si="132"/>
        <v>2</v>
      </c>
      <c r="M35" s="56">
        <f t="shared" si="132"/>
        <v>2</v>
      </c>
      <c r="N35" s="56">
        <f t="shared" si="132"/>
        <v>2</v>
      </c>
      <c r="O35" s="45"/>
      <c r="Q35" s="47">
        <f>SUM(S35:Y35)</f>
        <v>32</v>
      </c>
      <c r="R35" s="35"/>
      <c r="S35" s="43">
        <f t="shared" ref="S35:X35" si="133">SUM(S26:S34)</f>
        <v>20</v>
      </c>
      <c r="T35" s="56">
        <f t="shared" si="133"/>
        <v>4</v>
      </c>
      <c r="U35" s="44">
        <f t="shared" si="133"/>
        <v>0</v>
      </c>
      <c r="V35" s="56">
        <f t="shared" si="133"/>
        <v>0</v>
      </c>
      <c r="W35" s="56">
        <f t="shared" si="133"/>
        <v>5</v>
      </c>
      <c r="X35" s="56">
        <f t="shared" si="133"/>
        <v>1</v>
      </c>
      <c r="Y35" s="59">
        <v>2</v>
      </c>
      <c r="AA35" s="47">
        <f>SUM(AC35:AI35)</f>
        <v>11</v>
      </c>
      <c r="AB35" s="35"/>
      <c r="AC35" s="43">
        <f t="shared" ref="AC35:AH35" si="134">SUM(AC26:AC34)</f>
        <v>0</v>
      </c>
      <c r="AD35" s="56">
        <f t="shared" si="134"/>
        <v>6</v>
      </c>
      <c r="AE35" s="44">
        <f t="shared" si="134"/>
        <v>0</v>
      </c>
      <c r="AF35" s="56">
        <f t="shared" si="134"/>
        <v>2</v>
      </c>
      <c r="AG35" s="56">
        <f t="shared" si="134"/>
        <v>0</v>
      </c>
      <c r="AH35" s="56">
        <f t="shared" si="134"/>
        <v>3</v>
      </c>
      <c r="AI35" s="45"/>
      <c r="AK35" s="47">
        <f>SUM(AM35:AS35)</f>
        <v>11</v>
      </c>
      <c r="AL35" s="35"/>
      <c r="AM35" s="43">
        <f t="shared" ref="AM35:AR35" si="135">SUM(AM26:AM34)</f>
        <v>0</v>
      </c>
      <c r="AN35" s="56">
        <f t="shared" si="135"/>
        <v>6</v>
      </c>
      <c r="AO35" s="44">
        <f t="shared" si="135"/>
        <v>0</v>
      </c>
      <c r="AP35" s="56">
        <f t="shared" si="135"/>
        <v>2</v>
      </c>
      <c r="AQ35" s="56">
        <f t="shared" si="135"/>
        <v>0</v>
      </c>
      <c r="AR35" s="56">
        <f t="shared" si="135"/>
        <v>3</v>
      </c>
      <c r="AS35" s="45"/>
      <c r="AU35" s="47">
        <f>SUM(AW35:BC35)</f>
        <v>10</v>
      </c>
      <c r="AV35" s="35"/>
      <c r="AW35" s="43">
        <f t="shared" ref="AW35:BB35" si="136">SUM(AW26:AW34)</f>
        <v>0</v>
      </c>
      <c r="AX35" s="56">
        <f t="shared" si="136"/>
        <v>6</v>
      </c>
      <c r="AY35" s="44">
        <f t="shared" si="136"/>
        <v>0</v>
      </c>
      <c r="AZ35" s="56">
        <f t="shared" si="136"/>
        <v>1</v>
      </c>
      <c r="BA35" s="56">
        <f t="shared" si="136"/>
        <v>1</v>
      </c>
      <c r="BB35" s="56">
        <f t="shared" si="136"/>
        <v>2</v>
      </c>
      <c r="BC35" s="45"/>
      <c r="BE35" s="47">
        <f>SUM(BG35:BM35)</f>
        <v>27</v>
      </c>
      <c r="BF35" s="35"/>
      <c r="BG35" s="43">
        <f t="shared" ref="BG35:BL35" si="137">SUM(BG26:BG34)</f>
        <v>10</v>
      </c>
      <c r="BH35" s="56">
        <f t="shared" si="137"/>
        <v>10</v>
      </c>
      <c r="BI35" s="44">
        <f t="shared" si="137"/>
        <v>0</v>
      </c>
      <c r="BJ35" s="56">
        <f t="shared" si="137"/>
        <v>1</v>
      </c>
      <c r="BK35" s="56">
        <f t="shared" si="137"/>
        <v>2</v>
      </c>
      <c r="BL35" s="56">
        <f t="shared" si="137"/>
        <v>2</v>
      </c>
      <c r="BM35" s="59">
        <v>2</v>
      </c>
    </row>
    <row r="36" spans="2:65" ht="16.2" thickBot="1" x14ac:dyDescent="0.35">
      <c r="B36" s="15" t="s">
        <v>21</v>
      </c>
      <c r="C36" s="41"/>
      <c r="D36" s="41"/>
      <c r="E36" s="16"/>
      <c r="G36" s="36"/>
      <c r="H36" s="36"/>
      <c r="I36" s="5"/>
      <c r="J36" s="5"/>
      <c r="K36" s="5"/>
      <c r="L36" s="5"/>
      <c r="M36" s="5"/>
      <c r="N36" s="5"/>
      <c r="O36" s="5"/>
      <c r="Q36" s="36"/>
      <c r="R36" s="36"/>
      <c r="S36" s="5"/>
      <c r="T36" s="5"/>
      <c r="U36" s="5"/>
      <c r="V36" s="5"/>
      <c r="W36" s="5"/>
      <c r="X36" s="5"/>
      <c r="Y36" s="5"/>
      <c r="AA36" s="36"/>
      <c r="AB36" s="36"/>
      <c r="AC36" s="5"/>
      <c r="AD36" s="5"/>
      <c r="AE36" s="5"/>
      <c r="AF36" s="5"/>
      <c r="AG36" s="5"/>
      <c r="AH36" s="5"/>
      <c r="AI36" s="5"/>
      <c r="AK36" s="36"/>
      <c r="AL36" s="36"/>
      <c r="AM36" s="5"/>
      <c r="AN36" s="5"/>
      <c r="AO36" s="5"/>
      <c r="AP36" s="5"/>
      <c r="AQ36" s="5"/>
      <c r="AR36" s="5"/>
      <c r="AS36" s="5"/>
      <c r="AU36" s="36"/>
      <c r="AV36" s="36"/>
      <c r="AW36" s="5"/>
      <c r="AX36" s="5"/>
      <c r="AY36" s="5"/>
      <c r="AZ36" s="5"/>
      <c r="BA36" s="5"/>
      <c r="BB36" s="5"/>
      <c r="BC36" s="5"/>
      <c r="BE36" s="36"/>
      <c r="BF36" s="36"/>
      <c r="BG36" s="5"/>
      <c r="BH36" s="5"/>
      <c r="BI36" s="5"/>
      <c r="BJ36" s="5"/>
      <c r="BK36" s="5"/>
      <c r="BL36" s="5"/>
      <c r="BM36" s="5"/>
    </row>
    <row r="37" spans="2:65" x14ac:dyDescent="0.3">
      <c r="B37" s="7" t="s">
        <v>8</v>
      </c>
      <c r="C37" s="38">
        <v>2</v>
      </c>
      <c r="D37" s="38">
        <v>1</v>
      </c>
      <c r="E37" s="9" t="s">
        <v>13</v>
      </c>
      <c r="G37" s="29">
        <v>0</v>
      </c>
      <c r="H37" s="30">
        <v>0</v>
      </c>
      <c r="I37" s="22">
        <f>IF(AND(G37=$C37,H37=$D37),$I$2,0)</f>
        <v>0</v>
      </c>
      <c r="J37" s="54" t="str">
        <f>IF(AND(I37&amp;""="0",SIGN(G37-H37)=SIGN($C37-$D37)),$J$2,"0")</f>
        <v>0</v>
      </c>
      <c r="K37" s="8" t="str">
        <f>IF(AND(I37&amp;""="0",J37&amp;""="0"),"x","o")</f>
        <v>x</v>
      </c>
      <c r="L37" s="8" t="str">
        <f>IF(AND(J37=2,($C37-$D37)=(G37-H37)),$L$2,"x")</f>
        <v>x</v>
      </c>
      <c r="M37" s="8" t="str">
        <f>IF(AND(I37&amp;""="0",G37=$C37),$M$2,"x")</f>
        <v>x</v>
      </c>
      <c r="N37" s="54" t="str">
        <f>IF(AND(I37&amp;""="0",H37=$D37),$N$2,"x")</f>
        <v>x</v>
      </c>
      <c r="O37" s="9"/>
      <c r="Q37" s="29">
        <v>3</v>
      </c>
      <c r="R37" s="30">
        <v>3</v>
      </c>
      <c r="S37" s="22">
        <f>IF(AND(Q37=$C37,R37=$D37),$I$2,0)</f>
        <v>0</v>
      </c>
      <c r="T37" s="54" t="str">
        <f>IF(AND(S37&amp;""="0",SIGN(Q37-R37)=SIGN($C37-$D37)),$J$2,"0")</f>
        <v>0</v>
      </c>
      <c r="U37" s="8" t="str">
        <f>IF(AND(S37&amp;""="0",T37&amp;""="0"),"x","o")</f>
        <v>x</v>
      </c>
      <c r="V37" s="8" t="str">
        <f>IF(AND(T37=2,($C37-$D37)=(Q37-R37)),$L$2,"x")</f>
        <v>x</v>
      </c>
      <c r="W37" s="8" t="str">
        <f>IF(AND(S37&amp;""="0",Q37=$C37),$M$2,"x")</f>
        <v>x</v>
      </c>
      <c r="X37" s="54" t="str">
        <f>IF(AND(S37&amp;""="0",R37=$D37),$N$2,"x")</f>
        <v>x</v>
      </c>
      <c r="Y37" s="9"/>
      <c r="AA37" s="29">
        <v>0</v>
      </c>
      <c r="AB37" s="30">
        <v>0</v>
      </c>
      <c r="AC37" s="22">
        <f>IF(AND(AA37=$C37,AB37=$D37),$I$2,0)</f>
        <v>0</v>
      </c>
      <c r="AD37" s="54" t="str">
        <f>IF(AND(AC37&amp;""="0",SIGN(AA37-AB37)=SIGN($C37-$D37)),$J$2,"0")</f>
        <v>0</v>
      </c>
      <c r="AE37" s="8" t="str">
        <f>IF(AND(AC37&amp;""="0",AD37&amp;""="0"),"x","o")</f>
        <v>x</v>
      </c>
      <c r="AF37" s="8" t="str">
        <f>IF(AND(AD37=2,($C37-$D37)=(AA37-AB37)),$L$2,"x")</f>
        <v>x</v>
      </c>
      <c r="AG37" s="8" t="str">
        <f>IF(AND(AC37&amp;""="0",AA37=$C37),$M$2,"x")</f>
        <v>x</v>
      </c>
      <c r="AH37" s="54" t="str">
        <f>IF(AND(AC37&amp;""="0",AB37=$D37),$N$2,"x")</f>
        <v>x</v>
      </c>
      <c r="AI37" s="9"/>
      <c r="AK37" s="29">
        <v>3</v>
      </c>
      <c r="AL37" s="30">
        <v>0</v>
      </c>
      <c r="AM37" s="22">
        <f>IF(AND(AK37=$C37,AL37=$D37),$I$2,0)</f>
        <v>0</v>
      </c>
      <c r="AN37" s="54">
        <f>IF(AND(AM37&amp;""="0",SIGN(AK37-AL37)=SIGN($C37-$D37)),$J$2,"0")</f>
        <v>2</v>
      </c>
      <c r="AO37" s="8" t="str">
        <f>IF(AND(AM37&amp;""="0",AN37&amp;""="0"),"x","o")</f>
        <v>o</v>
      </c>
      <c r="AP37" s="8" t="str">
        <f>IF(AND(AN37=2,($C37-$D37)=(AK37-AL37)),$L$2,"x")</f>
        <v>x</v>
      </c>
      <c r="AQ37" s="8" t="str">
        <f>IF(AND(AM37&amp;""="0",AK37=$C37),$M$2,"x")</f>
        <v>x</v>
      </c>
      <c r="AR37" s="54" t="str">
        <f>IF(AND(AM37&amp;""="0",AL37=$D37),$N$2,"x")</f>
        <v>x</v>
      </c>
      <c r="AS37" s="9"/>
      <c r="AU37" s="29">
        <v>0</v>
      </c>
      <c r="AV37" s="30">
        <v>2</v>
      </c>
      <c r="AW37" s="22">
        <f>IF(AND(AU37=$C37,AV37=$D37),$I$2,0)</f>
        <v>0</v>
      </c>
      <c r="AX37" s="54" t="str">
        <f>IF(AND(AW37&amp;""="0",SIGN(AU37-AV37)=SIGN($C37-$D37)),$J$2,"0")</f>
        <v>0</v>
      </c>
      <c r="AY37" s="8" t="str">
        <f>IF(AND(AW37&amp;""="0",AX37&amp;""="0"),"x","o")</f>
        <v>x</v>
      </c>
      <c r="AZ37" s="8" t="str">
        <f>IF(AND(AX37=2,($C37-$D37)=(AU37-AV37)),$L$2,"x")</f>
        <v>x</v>
      </c>
      <c r="BA37" s="8" t="str">
        <f>IF(AND(AW37&amp;""="0",AU37=$C37),$M$2,"x")</f>
        <v>x</v>
      </c>
      <c r="BB37" s="54" t="str">
        <f>IF(AND(AW37&amp;""="0",AV37=$D37),$N$2,"x")</f>
        <v>x</v>
      </c>
      <c r="BC37" s="9"/>
      <c r="BE37" s="29">
        <v>1</v>
      </c>
      <c r="BF37" s="30">
        <v>3</v>
      </c>
      <c r="BG37" s="22">
        <f>IF(AND(BE37=$C37,BF37=$D37),$I$2,0)</f>
        <v>0</v>
      </c>
      <c r="BH37" s="54" t="str">
        <f>IF(AND(BG37&amp;""="0",SIGN(BE37-BF37)=SIGN($C37-$D37)),$J$2,"0")</f>
        <v>0</v>
      </c>
      <c r="BI37" s="8" t="str">
        <f>IF(AND(BG37&amp;""="0",BH37&amp;""="0"),"x","o")</f>
        <v>x</v>
      </c>
      <c r="BJ37" s="8" t="str">
        <f>IF(AND(BH37=2,($C37-$D37)=(BE37-BF37)),$L$2,"x")</f>
        <v>x</v>
      </c>
      <c r="BK37" s="8" t="str">
        <f>IF(AND(BG37&amp;""="0",BE37=$C37),$M$2,"x")</f>
        <v>x</v>
      </c>
      <c r="BL37" s="54" t="str">
        <f>IF(AND(BG37&amp;""="0",BF37=$D37),$N$2,"x")</f>
        <v>x</v>
      </c>
      <c r="BM37" s="9"/>
    </row>
    <row r="38" spans="2:65" x14ac:dyDescent="0.3">
      <c r="B38" s="10" t="s">
        <v>17</v>
      </c>
      <c r="C38" s="39">
        <v>2</v>
      </c>
      <c r="D38" s="39">
        <v>3</v>
      </c>
      <c r="E38" s="11" t="s">
        <v>2</v>
      </c>
      <c r="G38" s="31">
        <v>2</v>
      </c>
      <c r="H38" s="32">
        <v>2</v>
      </c>
      <c r="I38" s="23">
        <f t="shared" ref="I38:I45" si="138">IF(AND(G38=$C38,H38=$D38),$I$2,0)</f>
        <v>0</v>
      </c>
      <c r="J38" s="6" t="str">
        <f t="shared" ref="J38:J45" si="139">IF(AND(I38&amp;""="0",SIGN(G38-H38)=SIGN($C38-$D38)),$J$2,"0")</f>
        <v>0</v>
      </c>
      <c r="K38" s="6" t="str">
        <f t="shared" ref="K38:K45" si="140">IF(AND(I38&amp;""="0",J38&amp;""="0"),"x","o")</f>
        <v>x</v>
      </c>
      <c r="L38" s="6" t="str">
        <f t="shared" ref="L38:L45" si="141">IF(AND(J38=2,($C38-$D38)=(G38-H38)),$L$2,"x")</f>
        <v>x</v>
      </c>
      <c r="M38" s="6">
        <f t="shared" ref="M38:M45" si="142">IF(AND(I38&amp;""="0",G38=$C38),$M$2,"x")</f>
        <v>1</v>
      </c>
      <c r="N38" s="6" t="str">
        <f t="shared" ref="N38:N45" si="143">IF(AND(I38&amp;""="0",H38=$D38),$N$2,"x")</f>
        <v>x</v>
      </c>
      <c r="O38" s="11"/>
      <c r="Q38" s="31">
        <v>1</v>
      </c>
      <c r="R38" s="32">
        <v>1</v>
      </c>
      <c r="S38" s="23">
        <f t="shared" ref="S38:S45" si="144">IF(AND(Q38=$C38,R38=$D38),$I$2,0)</f>
        <v>0</v>
      </c>
      <c r="T38" s="6" t="str">
        <f t="shared" ref="T38:T45" si="145">IF(AND(S38&amp;""="0",SIGN(Q38-R38)=SIGN($C38-$D38)),$J$2,"0")</f>
        <v>0</v>
      </c>
      <c r="U38" s="6" t="str">
        <f t="shared" ref="U38:U45" si="146">IF(AND(S38&amp;""="0",T38&amp;""="0"),"x","o")</f>
        <v>x</v>
      </c>
      <c r="V38" s="6" t="str">
        <f t="shared" ref="V38:V45" si="147">IF(AND(T38=2,($C38-$D38)=(Q38-R38)),$L$2,"x")</f>
        <v>x</v>
      </c>
      <c r="W38" s="6" t="str">
        <f t="shared" ref="W38:W45" si="148">IF(AND(S38&amp;""="0",Q38=$C38),$M$2,"x")</f>
        <v>x</v>
      </c>
      <c r="X38" s="6" t="str">
        <f t="shared" ref="X38:X45" si="149">IF(AND(S38&amp;""="0",R38=$D38),$N$2,"x")</f>
        <v>x</v>
      </c>
      <c r="Y38" s="11"/>
      <c r="AA38" s="31">
        <v>0</v>
      </c>
      <c r="AB38" s="32">
        <v>1</v>
      </c>
      <c r="AC38" s="23">
        <f t="shared" ref="AC38:AC45" si="150">IF(AND(AA38=$C38,AB38=$D38),$I$2,0)</f>
        <v>0</v>
      </c>
      <c r="AD38" s="6">
        <f t="shared" ref="AD38:AD45" si="151">IF(AND(AC38&amp;""="0",SIGN(AA38-AB38)=SIGN($C38-$D38)),$J$2,"0")</f>
        <v>2</v>
      </c>
      <c r="AE38" s="6" t="str">
        <f t="shared" ref="AE38:AE45" si="152">IF(AND(AC38&amp;""="0",AD38&amp;""="0"),"x","o")</f>
        <v>o</v>
      </c>
      <c r="AF38" s="6">
        <f t="shared" ref="AF38:AF45" si="153">IF(AND(AD38=2,($C38-$D38)=(AA38-AB38)),$L$2,"x")</f>
        <v>1</v>
      </c>
      <c r="AG38" s="6" t="str">
        <f t="shared" ref="AG38:AG45" si="154">IF(AND(AC38&amp;""="0",AA38=$C38),$M$2,"x")</f>
        <v>x</v>
      </c>
      <c r="AH38" s="6" t="str">
        <f t="shared" ref="AH38:AH45" si="155">IF(AND(AC38&amp;""="0",AB38=$D38),$N$2,"x")</f>
        <v>x</v>
      </c>
      <c r="AI38" s="11"/>
      <c r="AK38" s="31">
        <v>0</v>
      </c>
      <c r="AL38" s="32">
        <v>2</v>
      </c>
      <c r="AM38" s="23">
        <f t="shared" ref="AM38:AM45" si="156">IF(AND(AK38=$C38,AL38=$D38),$I$2,0)</f>
        <v>0</v>
      </c>
      <c r="AN38" s="6">
        <f t="shared" ref="AN38:AN45" si="157">IF(AND(AM38&amp;""="0",SIGN(AK38-AL38)=SIGN($C38-$D38)),$J$2,"0")</f>
        <v>2</v>
      </c>
      <c r="AO38" s="6" t="str">
        <f t="shared" ref="AO38:AO45" si="158">IF(AND(AM38&amp;""="0",AN38&amp;""="0"),"x","o")</f>
        <v>o</v>
      </c>
      <c r="AP38" s="6" t="str">
        <f t="shared" ref="AP38:AP45" si="159">IF(AND(AN38=2,($C38-$D38)=(AK38-AL38)),$L$2,"x")</f>
        <v>x</v>
      </c>
      <c r="AQ38" s="6" t="str">
        <f t="shared" ref="AQ38:AQ45" si="160">IF(AND(AM38&amp;""="0",AK38=$C38),$M$2,"x")</f>
        <v>x</v>
      </c>
      <c r="AR38" s="6" t="str">
        <f t="shared" ref="AR38:AR45" si="161">IF(AND(AM38&amp;""="0",AL38=$D38),$N$2,"x")</f>
        <v>x</v>
      </c>
      <c r="AS38" s="11"/>
      <c r="AU38" s="31">
        <v>1</v>
      </c>
      <c r="AV38" s="32">
        <v>2</v>
      </c>
      <c r="AW38" s="23">
        <f t="shared" ref="AW38:AW45" si="162">IF(AND(AU38=$C38,AV38=$D38),$I$2,0)</f>
        <v>0</v>
      </c>
      <c r="AX38" s="6">
        <f t="shared" ref="AX38:AX45" si="163">IF(AND(AW38&amp;""="0",SIGN(AU38-AV38)=SIGN($C38-$D38)),$J$2,"0")</f>
        <v>2</v>
      </c>
      <c r="AY38" s="6" t="str">
        <f t="shared" ref="AY38:AY45" si="164">IF(AND(AW38&amp;""="0",AX38&amp;""="0"),"x","o")</f>
        <v>o</v>
      </c>
      <c r="AZ38" s="6">
        <f t="shared" ref="AZ38:AZ45" si="165">IF(AND(AX38=2,($C38-$D38)=(AU38-AV38)),$L$2,"x")</f>
        <v>1</v>
      </c>
      <c r="BA38" s="6" t="str">
        <f t="shared" ref="BA38:BA45" si="166">IF(AND(AW38&amp;""="0",AU38=$C38),$M$2,"x")</f>
        <v>x</v>
      </c>
      <c r="BB38" s="6" t="str">
        <f t="shared" ref="BB38:BB45" si="167">IF(AND(AW38&amp;""="0",AV38=$D38),$N$2,"x")</f>
        <v>x</v>
      </c>
      <c r="BC38" s="11"/>
      <c r="BE38" s="31">
        <v>3</v>
      </c>
      <c r="BF38" s="32">
        <v>0</v>
      </c>
      <c r="BG38" s="23">
        <f t="shared" ref="BG38:BG45" si="168">IF(AND(BE38=$C38,BF38=$D38),$I$2,0)</f>
        <v>0</v>
      </c>
      <c r="BH38" s="6" t="str">
        <f t="shared" ref="BH38:BH45" si="169">IF(AND(BG38&amp;""="0",SIGN(BE38-BF38)=SIGN($C38-$D38)),$J$2,"0")</f>
        <v>0</v>
      </c>
      <c r="BI38" s="6" t="str">
        <f t="shared" ref="BI38:BI45" si="170">IF(AND(BG38&amp;""="0",BH38&amp;""="0"),"x","o")</f>
        <v>x</v>
      </c>
      <c r="BJ38" s="6" t="str">
        <f t="shared" ref="BJ38:BJ45" si="171">IF(AND(BH38=2,($C38-$D38)=(BE38-BF38)),$L$2,"x")</f>
        <v>x</v>
      </c>
      <c r="BK38" s="6" t="str">
        <f t="shared" ref="BK38:BK45" si="172">IF(AND(BG38&amp;""="0",BE38=$C38),$M$2,"x")</f>
        <v>x</v>
      </c>
      <c r="BL38" s="6" t="str">
        <f t="shared" ref="BL38:BL45" si="173">IF(AND(BG38&amp;""="0",BF38=$D38),$N$2,"x")</f>
        <v>x</v>
      </c>
      <c r="BM38" s="11"/>
    </row>
    <row r="39" spans="2:65" x14ac:dyDescent="0.3">
      <c r="B39" s="10" t="s">
        <v>0</v>
      </c>
      <c r="C39" s="39">
        <v>2</v>
      </c>
      <c r="D39" s="39">
        <v>0</v>
      </c>
      <c r="E39" s="11" t="s">
        <v>7</v>
      </c>
      <c r="G39" s="31">
        <v>0</v>
      </c>
      <c r="H39" s="32">
        <v>2</v>
      </c>
      <c r="I39" s="23">
        <f t="shared" si="138"/>
        <v>0</v>
      </c>
      <c r="J39" s="55" t="str">
        <f t="shared" si="139"/>
        <v>0</v>
      </c>
      <c r="K39" s="6" t="str">
        <f t="shared" si="140"/>
        <v>x</v>
      </c>
      <c r="L39" s="6" t="str">
        <f t="shared" si="141"/>
        <v>x</v>
      </c>
      <c r="M39" s="6" t="str">
        <f t="shared" si="142"/>
        <v>x</v>
      </c>
      <c r="N39" s="6" t="str">
        <f t="shared" si="143"/>
        <v>x</v>
      </c>
      <c r="O39" s="11"/>
      <c r="Q39" s="31">
        <v>0</v>
      </c>
      <c r="R39" s="32">
        <v>2</v>
      </c>
      <c r="S39" s="23">
        <f t="shared" si="144"/>
        <v>0</v>
      </c>
      <c r="T39" s="55" t="str">
        <f t="shared" si="145"/>
        <v>0</v>
      </c>
      <c r="U39" s="6" t="str">
        <f t="shared" si="146"/>
        <v>x</v>
      </c>
      <c r="V39" s="6" t="str">
        <f t="shared" si="147"/>
        <v>x</v>
      </c>
      <c r="W39" s="6" t="str">
        <f t="shared" si="148"/>
        <v>x</v>
      </c>
      <c r="X39" s="6" t="str">
        <f t="shared" si="149"/>
        <v>x</v>
      </c>
      <c r="Y39" s="11"/>
      <c r="AA39" s="31">
        <v>1</v>
      </c>
      <c r="AB39" s="32">
        <v>2</v>
      </c>
      <c r="AC39" s="23">
        <f t="shared" si="150"/>
        <v>0</v>
      </c>
      <c r="AD39" s="55" t="str">
        <f t="shared" si="151"/>
        <v>0</v>
      </c>
      <c r="AE39" s="6" t="str">
        <f t="shared" si="152"/>
        <v>x</v>
      </c>
      <c r="AF39" s="6" t="str">
        <f t="shared" si="153"/>
        <v>x</v>
      </c>
      <c r="AG39" s="6" t="str">
        <f t="shared" si="154"/>
        <v>x</v>
      </c>
      <c r="AH39" s="6" t="str">
        <f t="shared" si="155"/>
        <v>x</v>
      </c>
      <c r="AI39" s="11"/>
      <c r="AK39" s="31">
        <v>3</v>
      </c>
      <c r="AL39" s="32">
        <v>2</v>
      </c>
      <c r="AM39" s="23">
        <f t="shared" si="156"/>
        <v>0</v>
      </c>
      <c r="AN39" s="55">
        <f t="shared" si="157"/>
        <v>2</v>
      </c>
      <c r="AO39" s="6" t="str">
        <f t="shared" si="158"/>
        <v>o</v>
      </c>
      <c r="AP39" s="6" t="str">
        <f t="shared" si="159"/>
        <v>x</v>
      </c>
      <c r="AQ39" s="6" t="str">
        <f t="shared" si="160"/>
        <v>x</v>
      </c>
      <c r="AR39" s="6" t="str">
        <f t="shared" si="161"/>
        <v>x</v>
      </c>
      <c r="AS39" s="11"/>
      <c r="AU39" s="31">
        <v>2</v>
      </c>
      <c r="AV39" s="32">
        <v>2</v>
      </c>
      <c r="AW39" s="23">
        <f t="shared" si="162"/>
        <v>0</v>
      </c>
      <c r="AX39" s="55" t="str">
        <f t="shared" si="163"/>
        <v>0</v>
      </c>
      <c r="AY39" s="6" t="str">
        <f t="shared" si="164"/>
        <v>x</v>
      </c>
      <c r="AZ39" s="6" t="str">
        <f t="shared" si="165"/>
        <v>x</v>
      </c>
      <c r="BA39" s="6">
        <f t="shared" si="166"/>
        <v>1</v>
      </c>
      <c r="BB39" s="6" t="str">
        <f t="shared" si="167"/>
        <v>x</v>
      </c>
      <c r="BC39" s="11"/>
      <c r="BE39" s="31">
        <v>0</v>
      </c>
      <c r="BF39" s="32">
        <v>2</v>
      </c>
      <c r="BG39" s="23">
        <f t="shared" si="168"/>
        <v>0</v>
      </c>
      <c r="BH39" s="55" t="str">
        <f t="shared" si="169"/>
        <v>0</v>
      </c>
      <c r="BI39" s="6" t="str">
        <f t="shared" si="170"/>
        <v>x</v>
      </c>
      <c r="BJ39" s="6" t="str">
        <f t="shared" si="171"/>
        <v>x</v>
      </c>
      <c r="BK39" s="6" t="str">
        <f t="shared" si="172"/>
        <v>x</v>
      </c>
      <c r="BL39" s="6" t="str">
        <f t="shared" si="173"/>
        <v>x</v>
      </c>
      <c r="BM39" s="11"/>
    </row>
    <row r="40" spans="2:65" x14ac:dyDescent="0.3">
      <c r="B40" s="10" t="s">
        <v>4</v>
      </c>
      <c r="C40" s="39">
        <v>0</v>
      </c>
      <c r="D40" s="39">
        <v>0</v>
      </c>
      <c r="E40" s="11" t="s">
        <v>15</v>
      </c>
      <c r="G40" s="31">
        <v>2</v>
      </c>
      <c r="H40" s="32">
        <v>0</v>
      </c>
      <c r="I40" s="23">
        <f t="shared" si="138"/>
        <v>0</v>
      </c>
      <c r="J40" s="6" t="str">
        <f t="shared" si="139"/>
        <v>0</v>
      </c>
      <c r="K40" s="6" t="str">
        <f t="shared" si="140"/>
        <v>x</v>
      </c>
      <c r="L40" s="6" t="str">
        <f t="shared" si="141"/>
        <v>x</v>
      </c>
      <c r="M40" s="6" t="str">
        <f t="shared" si="142"/>
        <v>x</v>
      </c>
      <c r="N40" s="6">
        <f t="shared" si="143"/>
        <v>1</v>
      </c>
      <c r="O40" s="11"/>
      <c r="Q40" s="31">
        <v>1</v>
      </c>
      <c r="R40" s="32">
        <v>0</v>
      </c>
      <c r="S40" s="23">
        <f t="shared" si="144"/>
        <v>0</v>
      </c>
      <c r="T40" s="6" t="str">
        <f t="shared" si="145"/>
        <v>0</v>
      </c>
      <c r="U40" s="6" t="str">
        <f t="shared" si="146"/>
        <v>x</v>
      </c>
      <c r="V40" s="6" t="str">
        <f t="shared" si="147"/>
        <v>x</v>
      </c>
      <c r="W40" s="6" t="str">
        <f t="shared" si="148"/>
        <v>x</v>
      </c>
      <c r="X40" s="6">
        <f t="shared" si="149"/>
        <v>1</v>
      </c>
      <c r="Y40" s="11"/>
      <c r="AA40" s="31">
        <v>1</v>
      </c>
      <c r="AB40" s="32">
        <v>2</v>
      </c>
      <c r="AC40" s="23">
        <f t="shared" si="150"/>
        <v>0</v>
      </c>
      <c r="AD40" s="6" t="str">
        <f t="shared" si="151"/>
        <v>0</v>
      </c>
      <c r="AE40" s="6" t="str">
        <f t="shared" si="152"/>
        <v>x</v>
      </c>
      <c r="AF40" s="6" t="str">
        <f t="shared" si="153"/>
        <v>x</v>
      </c>
      <c r="AG40" s="6" t="str">
        <f t="shared" si="154"/>
        <v>x</v>
      </c>
      <c r="AH40" s="6" t="str">
        <f t="shared" si="155"/>
        <v>x</v>
      </c>
      <c r="AI40" s="11"/>
      <c r="AK40" s="31">
        <v>1</v>
      </c>
      <c r="AL40" s="32">
        <v>0</v>
      </c>
      <c r="AM40" s="23">
        <f t="shared" si="156"/>
        <v>0</v>
      </c>
      <c r="AN40" s="6" t="str">
        <f t="shared" si="157"/>
        <v>0</v>
      </c>
      <c r="AO40" s="6" t="str">
        <f t="shared" si="158"/>
        <v>x</v>
      </c>
      <c r="AP40" s="6" t="str">
        <f t="shared" si="159"/>
        <v>x</v>
      </c>
      <c r="AQ40" s="6" t="str">
        <f t="shared" si="160"/>
        <v>x</v>
      </c>
      <c r="AR40" s="6">
        <f t="shared" si="161"/>
        <v>1</v>
      </c>
      <c r="AS40" s="11"/>
      <c r="AU40" s="31">
        <v>2</v>
      </c>
      <c r="AV40" s="32">
        <v>2</v>
      </c>
      <c r="AW40" s="23">
        <f t="shared" si="162"/>
        <v>0</v>
      </c>
      <c r="AX40" s="6">
        <f t="shared" si="163"/>
        <v>2</v>
      </c>
      <c r="AY40" s="6" t="str">
        <f t="shared" si="164"/>
        <v>o</v>
      </c>
      <c r="AZ40" s="6">
        <f t="shared" si="165"/>
        <v>1</v>
      </c>
      <c r="BA40" s="6" t="str">
        <f t="shared" si="166"/>
        <v>x</v>
      </c>
      <c r="BB40" s="6" t="str">
        <f t="shared" si="167"/>
        <v>x</v>
      </c>
      <c r="BC40" s="11"/>
      <c r="BE40" s="31">
        <v>2</v>
      </c>
      <c r="BF40" s="32">
        <v>1</v>
      </c>
      <c r="BG40" s="23">
        <f t="shared" si="168"/>
        <v>0</v>
      </c>
      <c r="BH40" s="6" t="str">
        <f t="shared" si="169"/>
        <v>0</v>
      </c>
      <c r="BI40" s="6" t="str">
        <f t="shared" si="170"/>
        <v>x</v>
      </c>
      <c r="BJ40" s="6" t="str">
        <f t="shared" si="171"/>
        <v>x</v>
      </c>
      <c r="BK40" s="6" t="str">
        <f t="shared" si="172"/>
        <v>x</v>
      </c>
      <c r="BL40" s="6" t="str">
        <f t="shared" si="173"/>
        <v>x</v>
      </c>
      <c r="BM40" s="11"/>
    </row>
    <row r="41" spans="2:65" x14ac:dyDescent="0.3">
      <c r="B41" s="10" t="s">
        <v>6</v>
      </c>
      <c r="C41" s="39">
        <v>2</v>
      </c>
      <c r="D41" s="39">
        <v>3</v>
      </c>
      <c r="E41" s="11" t="s">
        <v>3</v>
      </c>
      <c r="G41" s="31">
        <v>2</v>
      </c>
      <c r="H41" s="32">
        <v>0</v>
      </c>
      <c r="I41" s="23">
        <f t="shared" si="138"/>
        <v>0</v>
      </c>
      <c r="J41" s="6" t="str">
        <f t="shared" si="139"/>
        <v>0</v>
      </c>
      <c r="K41" s="6" t="str">
        <f t="shared" si="140"/>
        <v>x</v>
      </c>
      <c r="L41" s="6" t="str">
        <f t="shared" si="141"/>
        <v>x</v>
      </c>
      <c r="M41" s="6">
        <f t="shared" si="142"/>
        <v>1</v>
      </c>
      <c r="N41" s="6" t="str">
        <f t="shared" si="143"/>
        <v>x</v>
      </c>
      <c r="O41" s="11"/>
      <c r="Q41" s="31">
        <v>0</v>
      </c>
      <c r="R41" s="32">
        <v>1</v>
      </c>
      <c r="S41" s="23">
        <f t="shared" si="144"/>
        <v>0</v>
      </c>
      <c r="T41" s="6">
        <f t="shared" si="145"/>
        <v>2</v>
      </c>
      <c r="U41" s="6" t="str">
        <f t="shared" si="146"/>
        <v>o</v>
      </c>
      <c r="V41" s="6">
        <f t="shared" si="147"/>
        <v>1</v>
      </c>
      <c r="W41" s="6" t="str">
        <f t="shared" si="148"/>
        <v>x</v>
      </c>
      <c r="X41" s="6" t="str">
        <f t="shared" si="149"/>
        <v>x</v>
      </c>
      <c r="Y41" s="11"/>
      <c r="AA41" s="31">
        <v>3</v>
      </c>
      <c r="AB41" s="32">
        <v>3</v>
      </c>
      <c r="AC41" s="23">
        <f t="shared" si="150"/>
        <v>0</v>
      </c>
      <c r="AD41" s="6" t="str">
        <f t="shared" si="151"/>
        <v>0</v>
      </c>
      <c r="AE41" s="6" t="str">
        <f t="shared" si="152"/>
        <v>x</v>
      </c>
      <c r="AF41" s="6" t="str">
        <f t="shared" si="153"/>
        <v>x</v>
      </c>
      <c r="AG41" s="6" t="str">
        <f t="shared" si="154"/>
        <v>x</v>
      </c>
      <c r="AH41" s="6">
        <f t="shared" si="155"/>
        <v>1</v>
      </c>
      <c r="AI41" s="11"/>
      <c r="AK41" s="31">
        <v>1</v>
      </c>
      <c r="AL41" s="32">
        <v>3</v>
      </c>
      <c r="AM41" s="23">
        <f t="shared" si="156"/>
        <v>0</v>
      </c>
      <c r="AN41" s="6">
        <f t="shared" si="157"/>
        <v>2</v>
      </c>
      <c r="AO41" s="6" t="str">
        <f t="shared" si="158"/>
        <v>o</v>
      </c>
      <c r="AP41" s="6" t="str">
        <f t="shared" si="159"/>
        <v>x</v>
      </c>
      <c r="AQ41" s="6" t="str">
        <f t="shared" si="160"/>
        <v>x</v>
      </c>
      <c r="AR41" s="6">
        <f t="shared" si="161"/>
        <v>1</v>
      </c>
      <c r="AS41" s="11"/>
      <c r="AU41" s="31">
        <v>3</v>
      </c>
      <c r="AV41" s="32">
        <v>2</v>
      </c>
      <c r="AW41" s="23">
        <f t="shared" si="162"/>
        <v>0</v>
      </c>
      <c r="AX41" s="6" t="str">
        <f t="shared" si="163"/>
        <v>0</v>
      </c>
      <c r="AY41" s="6" t="str">
        <f t="shared" si="164"/>
        <v>x</v>
      </c>
      <c r="AZ41" s="6" t="str">
        <f t="shared" si="165"/>
        <v>x</v>
      </c>
      <c r="BA41" s="6" t="str">
        <f t="shared" si="166"/>
        <v>x</v>
      </c>
      <c r="BB41" s="6" t="str">
        <f t="shared" si="167"/>
        <v>x</v>
      </c>
      <c r="BC41" s="11"/>
      <c r="BE41" s="31">
        <v>2</v>
      </c>
      <c r="BF41" s="32">
        <v>0</v>
      </c>
      <c r="BG41" s="23">
        <f t="shared" si="168"/>
        <v>0</v>
      </c>
      <c r="BH41" s="6" t="str">
        <f t="shared" si="169"/>
        <v>0</v>
      </c>
      <c r="BI41" s="6" t="str">
        <f t="shared" si="170"/>
        <v>x</v>
      </c>
      <c r="BJ41" s="6" t="str">
        <f t="shared" si="171"/>
        <v>x</v>
      </c>
      <c r="BK41" s="6">
        <f t="shared" si="172"/>
        <v>1</v>
      </c>
      <c r="BL41" s="6" t="str">
        <f t="shared" si="173"/>
        <v>x</v>
      </c>
      <c r="BM41" s="11"/>
    </row>
    <row r="42" spans="2:65" x14ac:dyDescent="0.3">
      <c r="B42" s="10" t="s">
        <v>5</v>
      </c>
      <c r="C42" s="39">
        <v>3</v>
      </c>
      <c r="D42" s="39">
        <v>0</v>
      </c>
      <c r="E42" s="11" t="s">
        <v>16</v>
      </c>
      <c r="G42" s="31">
        <v>0</v>
      </c>
      <c r="H42" s="32">
        <v>0</v>
      </c>
      <c r="I42" s="23">
        <f t="shared" si="138"/>
        <v>0</v>
      </c>
      <c r="J42" s="6" t="str">
        <f t="shared" si="139"/>
        <v>0</v>
      </c>
      <c r="K42" s="6" t="str">
        <f t="shared" si="140"/>
        <v>x</v>
      </c>
      <c r="L42" s="6" t="str">
        <f t="shared" si="141"/>
        <v>x</v>
      </c>
      <c r="M42" s="6" t="str">
        <f t="shared" si="142"/>
        <v>x</v>
      </c>
      <c r="N42" s="6">
        <f t="shared" si="143"/>
        <v>1</v>
      </c>
      <c r="O42" s="11"/>
      <c r="Q42" s="31">
        <v>1</v>
      </c>
      <c r="R42" s="32">
        <v>3</v>
      </c>
      <c r="S42" s="23">
        <f t="shared" si="144"/>
        <v>0</v>
      </c>
      <c r="T42" s="6" t="str">
        <f t="shared" si="145"/>
        <v>0</v>
      </c>
      <c r="U42" s="6" t="str">
        <f t="shared" si="146"/>
        <v>x</v>
      </c>
      <c r="V42" s="6" t="str">
        <f t="shared" si="147"/>
        <v>x</v>
      </c>
      <c r="W42" s="6" t="str">
        <f t="shared" si="148"/>
        <v>x</v>
      </c>
      <c r="X42" s="6" t="str">
        <f t="shared" si="149"/>
        <v>x</v>
      </c>
      <c r="Y42" s="11"/>
      <c r="AA42" s="31">
        <v>1</v>
      </c>
      <c r="AB42" s="32">
        <v>1</v>
      </c>
      <c r="AC42" s="23">
        <f t="shared" si="150"/>
        <v>0</v>
      </c>
      <c r="AD42" s="6" t="str">
        <f t="shared" si="151"/>
        <v>0</v>
      </c>
      <c r="AE42" s="6" t="str">
        <f t="shared" si="152"/>
        <v>x</v>
      </c>
      <c r="AF42" s="6" t="str">
        <f t="shared" si="153"/>
        <v>x</v>
      </c>
      <c r="AG42" s="6" t="str">
        <f t="shared" si="154"/>
        <v>x</v>
      </c>
      <c r="AH42" s="6" t="str">
        <f t="shared" si="155"/>
        <v>x</v>
      </c>
      <c r="AI42" s="11"/>
      <c r="AK42" s="31">
        <v>2</v>
      </c>
      <c r="AL42" s="32">
        <v>0</v>
      </c>
      <c r="AM42" s="23">
        <f t="shared" si="156"/>
        <v>0</v>
      </c>
      <c r="AN42" s="6">
        <f t="shared" si="157"/>
        <v>2</v>
      </c>
      <c r="AO42" s="6" t="str">
        <f t="shared" si="158"/>
        <v>o</v>
      </c>
      <c r="AP42" s="6" t="str">
        <f t="shared" si="159"/>
        <v>x</v>
      </c>
      <c r="AQ42" s="6" t="str">
        <f t="shared" si="160"/>
        <v>x</v>
      </c>
      <c r="AR42" s="6">
        <f t="shared" si="161"/>
        <v>1</v>
      </c>
      <c r="AS42" s="11"/>
      <c r="AU42" s="31">
        <v>2</v>
      </c>
      <c r="AV42" s="32">
        <v>3</v>
      </c>
      <c r="AW42" s="23">
        <f t="shared" si="162"/>
        <v>0</v>
      </c>
      <c r="AX42" s="6" t="str">
        <f t="shared" si="163"/>
        <v>0</v>
      </c>
      <c r="AY42" s="6" t="str">
        <f t="shared" si="164"/>
        <v>x</v>
      </c>
      <c r="AZ42" s="6" t="str">
        <f t="shared" si="165"/>
        <v>x</v>
      </c>
      <c r="BA42" s="6" t="str">
        <f t="shared" si="166"/>
        <v>x</v>
      </c>
      <c r="BB42" s="6" t="str">
        <f t="shared" si="167"/>
        <v>x</v>
      </c>
      <c r="BC42" s="11"/>
      <c r="BE42" s="31">
        <v>2</v>
      </c>
      <c r="BF42" s="32">
        <v>0</v>
      </c>
      <c r="BG42" s="23">
        <f t="shared" si="168"/>
        <v>0</v>
      </c>
      <c r="BH42" s="6">
        <f t="shared" si="169"/>
        <v>2</v>
      </c>
      <c r="BI42" s="6" t="str">
        <f t="shared" si="170"/>
        <v>o</v>
      </c>
      <c r="BJ42" s="6" t="str">
        <f t="shared" si="171"/>
        <v>x</v>
      </c>
      <c r="BK42" s="6" t="str">
        <f t="shared" si="172"/>
        <v>x</v>
      </c>
      <c r="BL42" s="6">
        <f t="shared" si="173"/>
        <v>1</v>
      </c>
      <c r="BM42" s="11"/>
    </row>
    <row r="43" spans="2:65" x14ac:dyDescent="0.3">
      <c r="B43" s="10" t="s">
        <v>1</v>
      </c>
      <c r="C43" s="39">
        <v>2</v>
      </c>
      <c r="D43" s="39">
        <v>2</v>
      </c>
      <c r="E43" s="11" t="s">
        <v>10</v>
      </c>
      <c r="G43" s="31">
        <v>0</v>
      </c>
      <c r="H43" s="32">
        <v>2</v>
      </c>
      <c r="I43" s="23">
        <f t="shared" si="138"/>
        <v>0</v>
      </c>
      <c r="J43" s="6" t="str">
        <f t="shared" si="139"/>
        <v>0</v>
      </c>
      <c r="K43" s="6" t="str">
        <f t="shared" si="140"/>
        <v>x</v>
      </c>
      <c r="L43" s="6" t="str">
        <f t="shared" si="141"/>
        <v>x</v>
      </c>
      <c r="M43" s="6" t="str">
        <f t="shared" si="142"/>
        <v>x</v>
      </c>
      <c r="N43" s="55">
        <f t="shared" si="143"/>
        <v>1</v>
      </c>
      <c r="O43" s="11"/>
      <c r="Q43" s="31">
        <v>2</v>
      </c>
      <c r="R43" s="32">
        <v>2</v>
      </c>
      <c r="S43" s="23">
        <f t="shared" si="144"/>
        <v>10</v>
      </c>
      <c r="T43" s="6" t="str">
        <f t="shared" si="145"/>
        <v>0</v>
      </c>
      <c r="U43" s="6" t="str">
        <f t="shared" si="146"/>
        <v>o</v>
      </c>
      <c r="V43" s="6" t="str">
        <f t="shared" si="147"/>
        <v>x</v>
      </c>
      <c r="W43" s="6" t="str">
        <f t="shared" si="148"/>
        <v>x</v>
      </c>
      <c r="X43" s="55" t="str">
        <f t="shared" si="149"/>
        <v>x</v>
      </c>
      <c r="Y43" s="11"/>
      <c r="AA43" s="31">
        <v>0</v>
      </c>
      <c r="AB43" s="32">
        <v>3</v>
      </c>
      <c r="AC43" s="23">
        <f t="shared" si="150"/>
        <v>0</v>
      </c>
      <c r="AD43" s="6" t="str">
        <f t="shared" si="151"/>
        <v>0</v>
      </c>
      <c r="AE43" s="6" t="str">
        <f t="shared" si="152"/>
        <v>x</v>
      </c>
      <c r="AF43" s="6" t="str">
        <f t="shared" si="153"/>
        <v>x</v>
      </c>
      <c r="AG43" s="6" t="str">
        <f t="shared" si="154"/>
        <v>x</v>
      </c>
      <c r="AH43" s="55" t="str">
        <f t="shared" si="155"/>
        <v>x</v>
      </c>
      <c r="AI43" s="11"/>
      <c r="AK43" s="31">
        <v>2</v>
      </c>
      <c r="AL43" s="32">
        <v>3</v>
      </c>
      <c r="AM43" s="23">
        <f t="shared" si="156"/>
        <v>0</v>
      </c>
      <c r="AN43" s="6" t="str">
        <f t="shared" si="157"/>
        <v>0</v>
      </c>
      <c r="AO43" s="6" t="str">
        <f t="shared" si="158"/>
        <v>x</v>
      </c>
      <c r="AP43" s="6" t="str">
        <f t="shared" si="159"/>
        <v>x</v>
      </c>
      <c r="AQ43" s="6">
        <f t="shared" si="160"/>
        <v>1</v>
      </c>
      <c r="AR43" s="55" t="str">
        <f t="shared" si="161"/>
        <v>x</v>
      </c>
      <c r="AS43" s="11"/>
      <c r="AU43" s="31">
        <v>2</v>
      </c>
      <c r="AV43" s="32">
        <v>1</v>
      </c>
      <c r="AW43" s="23">
        <f t="shared" si="162"/>
        <v>0</v>
      </c>
      <c r="AX43" s="6" t="str">
        <f t="shared" si="163"/>
        <v>0</v>
      </c>
      <c r="AY43" s="6" t="str">
        <f t="shared" si="164"/>
        <v>x</v>
      </c>
      <c r="AZ43" s="6" t="str">
        <f t="shared" si="165"/>
        <v>x</v>
      </c>
      <c r="BA43" s="6">
        <f t="shared" si="166"/>
        <v>1</v>
      </c>
      <c r="BB43" s="55" t="str">
        <f t="shared" si="167"/>
        <v>x</v>
      </c>
      <c r="BC43" s="11"/>
      <c r="BE43" s="31">
        <v>2</v>
      </c>
      <c r="BF43" s="32">
        <v>1</v>
      </c>
      <c r="BG43" s="23">
        <f t="shared" si="168"/>
        <v>0</v>
      </c>
      <c r="BH43" s="6" t="str">
        <f t="shared" si="169"/>
        <v>0</v>
      </c>
      <c r="BI43" s="6" t="str">
        <f t="shared" si="170"/>
        <v>x</v>
      </c>
      <c r="BJ43" s="6" t="str">
        <f t="shared" si="171"/>
        <v>x</v>
      </c>
      <c r="BK43" s="6">
        <f t="shared" si="172"/>
        <v>1</v>
      </c>
      <c r="BL43" s="55" t="str">
        <f t="shared" si="173"/>
        <v>x</v>
      </c>
      <c r="BM43" s="11"/>
    </row>
    <row r="44" spans="2:65" x14ac:dyDescent="0.3">
      <c r="B44" s="10" t="s">
        <v>12</v>
      </c>
      <c r="C44" s="39">
        <v>2</v>
      </c>
      <c r="D44" s="39">
        <v>1</v>
      </c>
      <c r="E44" s="11" t="s">
        <v>14</v>
      </c>
      <c r="G44" s="31">
        <v>0</v>
      </c>
      <c r="H44" s="32">
        <v>0</v>
      </c>
      <c r="I44" s="23">
        <f t="shared" si="138"/>
        <v>0</v>
      </c>
      <c r="J44" s="55" t="str">
        <f t="shared" si="139"/>
        <v>0</v>
      </c>
      <c r="K44" s="6" t="str">
        <f t="shared" si="140"/>
        <v>x</v>
      </c>
      <c r="L44" s="6" t="str">
        <f t="shared" si="141"/>
        <v>x</v>
      </c>
      <c r="M44" s="6" t="str">
        <f t="shared" si="142"/>
        <v>x</v>
      </c>
      <c r="N44" s="6" t="str">
        <f t="shared" si="143"/>
        <v>x</v>
      </c>
      <c r="O44" s="11"/>
      <c r="Q44" s="31">
        <v>3</v>
      </c>
      <c r="R44" s="32">
        <v>1</v>
      </c>
      <c r="S44" s="23">
        <f t="shared" si="144"/>
        <v>0</v>
      </c>
      <c r="T44" s="55">
        <f t="shared" si="145"/>
        <v>2</v>
      </c>
      <c r="U44" s="6" t="str">
        <f t="shared" si="146"/>
        <v>o</v>
      </c>
      <c r="V44" s="6" t="str">
        <f t="shared" si="147"/>
        <v>x</v>
      </c>
      <c r="W44" s="6" t="str">
        <f t="shared" si="148"/>
        <v>x</v>
      </c>
      <c r="X44" s="6">
        <f t="shared" si="149"/>
        <v>1</v>
      </c>
      <c r="Y44" s="11"/>
      <c r="AA44" s="31">
        <v>2</v>
      </c>
      <c r="AB44" s="32">
        <v>3</v>
      </c>
      <c r="AC44" s="23">
        <f t="shared" si="150"/>
        <v>0</v>
      </c>
      <c r="AD44" s="55" t="str">
        <f t="shared" si="151"/>
        <v>0</v>
      </c>
      <c r="AE44" s="6" t="str">
        <f t="shared" si="152"/>
        <v>x</v>
      </c>
      <c r="AF44" s="6" t="str">
        <f t="shared" si="153"/>
        <v>x</v>
      </c>
      <c r="AG44" s="6">
        <f t="shared" si="154"/>
        <v>1</v>
      </c>
      <c r="AH44" s="6" t="str">
        <f t="shared" si="155"/>
        <v>x</v>
      </c>
      <c r="AI44" s="11"/>
      <c r="AK44" s="31">
        <v>1</v>
      </c>
      <c r="AL44" s="32">
        <v>3</v>
      </c>
      <c r="AM44" s="23">
        <f t="shared" si="156"/>
        <v>0</v>
      </c>
      <c r="AN44" s="55" t="str">
        <f t="shared" si="157"/>
        <v>0</v>
      </c>
      <c r="AO44" s="6" t="str">
        <f t="shared" si="158"/>
        <v>x</v>
      </c>
      <c r="AP44" s="6" t="str">
        <f t="shared" si="159"/>
        <v>x</v>
      </c>
      <c r="AQ44" s="6" t="str">
        <f t="shared" si="160"/>
        <v>x</v>
      </c>
      <c r="AR44" s="6" t="str">
        <f t="shared" si="161"/>
        <v>x</v>
      </c>
      <c r="AS44" s="11"/>
      <c r="AU44" s="31">
        <v>3</v>
      </c>
      <c r="AV44" s="32">
        <v>0</v>
      </c>
      <c r="AW44" s="23">
        <f t="shared" si="162"/>
        <v>0</v>
      </c>
      <c r="AX44" s="55">
        <f t="shared" si="163"/>
        <v>2</v>
      </c>
      <c r="AY44" s="6" t="str">
        <f t="shared" si="164"/>
        <v>o</v>
      </c>
      <c r="AZ44" s="6" t="str">
        <f t="shared" si="165"/>
        <v>x</v>
      </c>
      <c r="BA44" s="6" t="str">
        <f t="shared" si="166"/>
        <v>x</v>
      </c>
      <c r="BB44" s="6" t="str">
        <f t="shared" si="167"/>
        <v>x</v>
      </c>
      <c r="BC44" s="11"/>
      <c r="BE44" s="31">
        <v>3</v>
      </c>
      <c r="BF44" s="32">
        <v>3</v>
      </c>
      <c r="BG44" s="23">
        <f t="shared" si="168"/>
        <v>0</v>
      </c>
      <c r="BH44" s="55" t="str">
        <f t="shared" si="169"/>
        <v>0</v>
      </c>
      <c r="BI44" s="6" t="str">
        <f t="shared" si="170"/>
        <v>x</v>
      </c>
      <c r="BJ44" s="6" t="str">
        <f t="shared" si="171"/>
        <v>x</v>
      </c>
      <c r="BK44" s="6" t="str">
        <f t="shared" si="172"/>
        <v>x</v>
      </c>
      <c r="BL44" s="6" t="str">
        <f t="shared" si="173"/>
        <v>x</v>
      </c>
      <c r="BM44" s="11"/>
    </row>
    <row r="45" spans="2:65" ht="16.2" thickBot="1" x14ac:dyDescent="0.35">
      <c r="B45" s="12" t="s">
        <v>9</v>
      </c>
      <c r="C45" s="40">
        <v>3</v>
      </c>
      <c r="D45" s="40">
        <v>0</v>
      </c>
      <c r="E45" s="14" t="s">
        <v>11</v>
      </c>
      <c r="G45" s="33">
        <v>1</v>
      </c>
      <c r="H45" s="34">
        <v>0</v>
      </c>
      <c r="I45" s="24">
        <f t="shared" si="138"/>
        <v>0</v>
      </c>
      <c r="J45" s="13">
        <f t="shared" si="139"/>
        <v>2</v>
      </c>
      <c r="K45" s="13" t="str">
        <f t="shared" si="140"/>
        <v>o</v>
      </c>
      <c r="L45" s="13" t="str">
        <f t="shared" si="141"/>
        <v>x</v>
      </c>
      <c r="M45" s="26" t="str">
        <f t="shared" si="142"/>
        <v>x</v>
      </c>
      <c r="N45" s="58">
        <f t="shared" si="143"/>
        <v>1</v>
      </c>
      <c r="O45" s="14"/>
      <c r="Q45" s="33">
        <v>2</v>
      </c>
      <c r="R45" s="34">
        <v>2</v>
      </c>
      <c r="S45" s="24">
        <f t="shared" si="144"/>
        <v>0</v>
      </c>
      <c r="T45" s="13" t="str">
        <f t="shared" si="145"/>
        <v>0</v>
      </c>
      <c r="U45" s="13" t="str">
        <f t="shared" si="146"/>
        <v>x</v>
      </c>
      <c r="V45" s="13" t="str">
        <f t="shared" si="147"/>
        <v>x</v>
      </c>
      <c r="W45" s="26" t="str">
        <f t="shared" si="148"/>
        <v>x</v>
      </c>
      <c r="X45" s="58" t="str">
        <f t="shared" si="149"/>
        <v>x</v>
      </c>
      <c r="Y45" s="14"/>
      <c r="AA45" s="33">
        <v>0</v>
      </c>
      <c r="AB45" s="34">
        <v>1</v>
      </c>
      <c r="AC45" s="24">
        <f t="shared" si="150"/>
        <v>0</v>
      </c>
      <c r="AD45" s="13" t="str">
        <f t="shared" si="151"/>
        <v>0</v>
      </c>
      <c r="AE45" s="13" t="str">
        <f t="shared" si="152"/>
        <v>x</v>
      </c>
      <c r="AF45" s="13" t="str">
        <f t="shared" si="153"/>
        <v>x</v>
      </c>
      <c r="AG45" s="26" t="str">
        <f t="shared" si="154"/>
        <v>x</v>
      </c>
      <c r="AH45" s="58" t="str">
        <f t="shared" si="155"/>
        <v>x</v>
      </c>
      <c r="AI45" s="14"/>
      <c r="AK45" s="33">
        <v>1</v>
      </c>
      <c r="AL45" s="34">
        <v>0</v>
      </c>
      <c r="AM45" s="24">
        <f t="shared" si="156"/>
        <v>0</v>
      </c>
      <c r="AN45" s="13">
        <f t="shared" si="157"/>
        <v>2</v>
      </c>
      <c r="AO45" s="13" t="str">
        <f t="shared" si="158"/>
        <v>o</v>
      </c>
      <c r="AP45" s="13" t="str">
        <f t="shared" si="159"/>
        <v>x</v>
      </c>
      <c r="AQ45" s="26" t="str">
        <f t="shared" si="160"/>
        <v>x</v>
      </c>
      <c r="AR45" s="58">
        <f t="shared" si="161"/>
        <v>1</v>
      </c>
      <c r="AS45" s="14"/>
      <c r="AU45" s="33">
        <v>0</v>
      </c>
      <c r="AV45" s="34">
        <v>1</v>
      </c>
      <c r="AW45" s="24">
        <f t="shared" si="162"/>
        <v>0</v>
      </c>
      <c r="AX45" s="13" t="str">
        <f t="shared" si="163"/>
        <v>0</v>
      </c>
      <c r="AY45" s="13" t="str">
        <f t="shared" si="164"/>
        <v>x</v>
      </c>
      <c r="AZ45" s="13" t="str">
        <f t="shared" si="165"/>
        <v>x</v>
      </c>
      <c r="BA45" s="26" t="str">
        <f t="shared" si="166"/>
        <v>x</v>
      </c>
      <c r="BB45" s="58" t="str">
        <f t="shared" si="167"/>
        <v>x</v>
      </c>
      <c r="BC45" s="14"/>
      <c r="BE45" s="33">
        <v>3</v>
      </c>
      <c r="BF45" s="34">
        <v>1</v>
      </c>
      <c r="BG45" s="24">
        <f t="shared" si="168"/>
        <v>0</v>
      </c>
      <c r="BH45" s="13">
        <f t="shared" si="169"/>
        <v>2</v>
      </c>
      <c r="BI45" s="13" t="str">
        <f t="shared" si="170"/>
        <v>o</v>
      </c>
      <c r="BJ45" s="13" t="str">
        <f t="shared" si="171"/>
        <v>x</v>
      </c>
      <c r="BK45" s="26">
        <f t="shared" si="172"/>
        <v>1</v>
      </c>
      <c r="BL45" s="58" t="str">
        <f t="shared" si="173"/>
        <v>x</v>
      </c>
      <c r="BM45" s="14"/>
    </row>
    <row r="46" spans="2:65" s="42" customFormat="1" ht="21.6" thickBot="1" x14ac:dyDescent="0.45">
      <c r="B46" s="35"/>
      <c r="C46" s="35"/>
      <c r="D46" s="35"/>
      <c r="E46" s="35"/>
      <c r="G46" s="47">
        <f>SUM(I46:O46)</f>
        <v>8</v>
      </c>
      <c r="H46" s="35"/>
      <c r="I46" s="43">
        <f t="shared" ref="I46:O46" si="174">SUM(I37:I45)</f>
        <v>0</v>
      </c>
      <c r="J46" s="56">
        <f t="shared" si="174"/>
        <v>2</v>
      </c>
      <c r="K46" s="44">
        <f t="shared" si="174"/>
        <v>0</v>
      </c>
      <c r="L46" s="44">
        <f t="shared" si="174"/>
        <v>0</v>
      </c>
      <c r="M46" s="56">
        <f t="shared" si="174"/>
        <v>2</v>
      </c>
      <c r="N46" s="56">
        <f t="shared" si="174"/>
        <v>4</v>
      </c>
      <c r="O46" s="45"/>
      <c r="Q46" s="47">
        <f>SUM(S46:Y46)</f>
        <v>17</v>
      </c>
      <c r="R46" s="35"/>
      <c r="S46" s="43">
        <f t="shared" ref="S46:X46" si="175">SUM(S37:S45)</f>
        <v>10</v>
      </c>
      <c r="T46" s="56">
        <f t="shared" si="175"/>
        <v>4</v>
      </c>
      <c r="U46" s="44">
        <f t="shared" si="175"/>
        <v>0</v>
      </c>
      <c r="V46" s="44">
        <f t="shared" si="175"/>
        <v>1</v>
      </c>
      <c r="W46" s="56">
        <f t="shared" si="175"/>
        <v>0</v>
      </c>
      <c r="X46" s="56">
        <f t="shared" si="175"/>
        <v>2</v>
      </c>
      <c r="Y46" s="45"/>
      <c r="AA46" s="47">
        <f>SUM(AC46:AI46)</f>
        <v>5</v>
      </c>
      <c r="AB46" s="35"/>
      <c r="AC46" s="43">
        <f t="shared" ref="AC46:AH46" si="176">SUM(AC37:AC45)</f>
        <v>0</v>
      </c>
      <c r="AD46" s="56">
        <f t="shared" si="176"/>
        <v>2</v>
      </c>
      <c r="AE46" s="44">
        <f t="shared" si="176"/>
        <v>0</v>
      </c>
      <c r="AF46" s="44">
        <f t="shared" si="176"/>
        <v>1</v>
      </c>
      <c r="AG46" s="56">
        <f t="shared" si="176"/>
        <v>1</v>
      </c>
      <c r="AH46" s="56">
        <f t="shared" si="176"/>
        <v>1</v>
      </c>
      <c r="AI46" s="45">
        <f t="shared" ref="AC46:AI46" si="177">SUM(AI37:AI45)</f>
        <v>0</v>
      </c>
      <c r="AK46" s="47">
        <f>SUM(AM46:AS46)</f>
        <v>19</v>
      </c>
      <c r="AL46" s="35"/>
      <c r="AM46" s="43">
        <f t="shared" ref="AM46:AR46" si="178">SUM(AM37:AM45)</f>
        <v>0</v>
      </c>
      <c r="AN46" s="56">
        <f t="shared" si="178"/>
        <v>12</v>
      </c>
      <c r="AO46" s="44">
        <f t="shared" si="178"/>
        <v>0</v>
      </c>
      <c r="AP46" s="44">
        <f t="shared" si="178"/>
        <v>0</v>
      </c>
      <c r="AQ46" s="56">
        <f t="shared" si="178"/>
        <v>1</v>
      </c>
      <c r="AR46" s="56">
        <f t="shared" si="178"/>
        <v>4</v>
      </c>
      <c r="AS46" s="59">
        <v>2</v>
      </c>
      <c r="AU46" s="47">
        <f>SUM(AW46:BC46)</f>
        <v>10</v>
      </c>
      <c r="AV46" s="35"/>
      <c r="AW46" s="43">
        <f t="shared" ref="AW46:BB46" si="179">SUM(AW37:AW45)</f>
        <v>0</v>
      </c>
      <c r="AX46" s="56">
        <f t="shared" si="179"/>
        <v>6</v>
      </c>
      <c r="AY46" s="44">
        <f t="shared" si="179"/>
        <v>0</v>
      </c>
      <c r="AZ46" s="44">
        <f t="shared" si="179"/>
        <v>2</v>
      </c>
      <c r="BA46" s="56">
        <f t="shared" si="179"/>
        <v>2</v>
      </c>
      <c r="BB46" s="56">
        <f t="shared" si="179"/>
        <v>0</v>
      </c>
      <c r="BC46" s="45"/>
      <c r="BE46" s="47">
        <f>SUM(BG46:BM46)</f>
        <v>8</v>
      </c>
      <c r="BF46" s="35"/>
      <c r="BG46" s="43">
        <f t="shared" ref="BG46:BL46" si="180">SUM(BG37:BG45)</f>
        <v>0</v>
      </c>
      <c r="BH46" s="56">
        <f t="shared" si="180"/>
        <v>4</v>
      </c>
      <c r="BI46" s="44">
        <f t="shared" si="180"/>
        <v>0</v>
      </c>
      <c r="BJ46" s="44">
        <f t="shared" si="180"/>
        <v>0</v>
      </c>
      <c r="BK46" s="56">
        <f t="shared" si="180"/>
        <v>3</v>
      </c>
      <c r="BL46" s="56">
        <f t="shared" si="180"/>
        <v>1</v>
      </c>
      <c r="BM46" s="45"/>
    </row>
    <row r="47" spans="2:65" ht="16.2" thickBot="1" x14ac:dyDescent="0.35">
      <c r="B47" s="15" t="s">
        <v>22</v>
      </c>
      <c r="C47" s="41"/>
      <c r="D47" s="41"/>
      <c r="E47" s="16"/>
      <c r="G47" s="36"/>
      <c r="H47" s="36"/>
      <c r="I47" s="5"/>
      <c r="J47" s="5"/>
      <c r="K47" s="5"/>
      <c r="L47" s="5"/>
      <c r="M47" s="5"/>
      <c r="N47" s="5"/>
      <c r="O47" s="5"/>
      <c r="Q47" s="36"/>
      <c r="R47" s="36"/>
      <c r="S47" s="5"/>
      <c r="T47" s="5"/>
      <c r="U47" s="5"/>
      <c r="V47" s="5"/>
      <c r="W47" s="5"/>
      <c r="X47" s="5"/>
      <c r="Y47" s="5"/>
      <c r="AA47" s="36"/>
      <c r="AB47" s="36"/>
      <c r="AC47" s="5"/>
      <c r="AD47" s="5"/>
      <c r="AE47" s="5"/>
      <c r="AF47" s="5"/>
      <c r="AG47" s="5"/>
      <c r="AH47" s="5"/>
      <c r="AI47" s="5"/>
      <c r="AK47" s="36"/>
      <c r="AL47" s="36"/>
      <c r="AM47" s="5"/>
      <c r="AN47" s="5"/>
      <c r="AO47" s="5"/>
      <c r="AP47" s="5"/>
      <c r="AQ47" s="5"/>
      <c r="AR47" s="5"/>
      <c r="AS47" s="5"/>
      <c r="AU47" s="36"/>
      <c r="AV47" s="36"/>
      <c r="AW47" s="5"/>
      <c r="AX47" s="5"/>
      <c r="AY47" s="5"/>
      <c r="AZ47" s="5"/>
      <c r="BA47" s="5"/>
      <c r="BB47" s="5"/>
      <c r="BC47" s="5"/>
      <c r="BE47" s="36"/>
      <c r="BF47" s="36"/>
      <c r="BG47" s="5"/>
      <c r="BH47" s="5"/>
      <c r="BI47" s="5"/>
      <c r="BJ47" s="5"/>
      <c r="BK47" s="5"/>
      <c r="BL47" s="5"/>
      <c r="BM47" s="5"/>
    </row>
    <row r="48" spans="2:65" x14ac:dyDescent="0.3">
      <c r="B48" s="7" t="s">
        <v>0</v>
      </c>
      <c r="C48" s="38">
        <v>3</v>
      </c>
      <c r="D48" s="38">
        <v>1</v>
      </c>
      <c r="E48" s="9" t="s">
        <v>12</v>
      </c>
      <c r="G48" s="29">
        <v>0</v>
      </c>
      <c r="H48" s="30">
        <v>1</v>
      </c>
      <c r="I48" s="22">
        <f>IF(AND(G48=$C48,H48=$D48),$I$2,0)</f>
        <v>0</v>
      </c>
      <c r="J48" s="54" t="str">
        <f>IF(AND(I48&amp;""="0",SIGN(G48-H48)=SIGN($C48-$D48)),$J$2,"0")</f>
        <v>0</v>
      </c>
      <c r="K48" s="8" t="str">
        <f>IF(AND(I48&amp;""="0",J48&amp;""="0"),"x","o")</f>
        <v>x</v>
      </c>
      <c r="L48" s="8" t="str">
        <f>IF(AND(J48=2,($C48-$D48)=(G48-H48)),$L$2,"x")</f>
        <v>x</v>
      </c>
      <c r="M48" s="8" t="str">
        <f>IF(AND(I48&amp;""="0",G48=$C48),$M$2,"x")</f>
        <v>x</v>
      </c>
      <c r="N48" s="54">
        <f>IF(AND(I48&amp;""="0",H48=$D48),$N$2,"x")</f>
        <v>1</v>
      </c>
      <c r="O48" s="9"/>
      <c r="Q48" s="29">
        <v>1</v>
      </c>
      <c r="R48" s="30">
        <v>0</v>
      </c>
      <c r="S48" s="22">
        <f>IF(AND(Q48=$C48,R48=$D48),$I$2,0)</f>
        <v>0</v>
      </c>
      <c r="T48" s="54">
        <f>IF(AND(S48&amp;""="0",SIGN(Q48-R48)=SIGN($C48-$D48)),$J$2,"0")</f>
        <v>2</v>
      </c>
      <c r="U48" s="8" t="str">
        <f>IF(AND(S48&amp;""="0",T48&amp;""="0"),"x","o")</f>
        <v>o</v>
      </c>
      <c r="V48" s="8" t="str">
        <f>IF(AND(T48=2,($C48-$D48)=(Q48-R48)),$L$2,"x")</f>
        <v>x</v>
      </c>
      <c r="W48" s="8" t="str">
        <f>IF(AND(S48&amp;""="0",Q48=$C48),$M$2,"x")</f>
        <v>x</v>
      </c>
      <c r="X48" s="54" t="str">
        <f>IF(AND(S48&amp;""="0",R48=$D48),$N$2,"x")</f>
        <v>x</v>
      </c>
      <c r="Y48" s="9"/>
      <c r="AA48" s="29">
        <v>0</v>
      </c>
      <c r="AB48" s="30">
        <v>0</v>
      </c>
      <c r="AC48" s="22">
        <f>IF(AND(AA48=$C48,AB48=$D48),$I$2,0)</f>
        <v>0</v>
      </c>
      <c r="AD48" s="54" t="str">
        <f>IF(AND(AC48&amp;""="0",SIGN(AA48-AB48)=SIGN($C48-$D48)),$J$2,"0")</f>
        <v>0</v>
      </c>
      <c r="AE48" s="8" t="str">
        <f>IF(AND(AC48&amp;""="0",AD48&amp;""="0"),"x","o")</f>
        <v>x</v>
      </c>
      <c r="AF48" s="8" t="str">
        <f>IF(AND(AD48=2,($C48-$D48)=(AA48-AB48)),$L$2,"x")</f>
        <v>x</v>
      </c>
      <c r="AG48" s="8" t="str">
        <f>IF(AND(AC48&amp;""="0",AA48=$C48),$M$2,"x")</f>
        <v>x</v>
      </c>
      <c r="AH48" s="54" t="str">
        <f>IF(AND(AC48&amp;""="0",AB48=$D48),$N$2,"x")</f>
        <v>x</v>
      </c>
      <c r="AI48" s="9"/>
      <c r="AK48" s="29">
        <v>0</v>
      </c>
      <c r="AL48" s="30">
        <v>1</v>
      </c>
      <c r="AM48" s="22">
        <f>IF(AND(AK48=$C48,AL48=$D48),$I$2,0)</f>
        <v>0</v>
      </c>
      <c r="AN48" s="54" t="str">
        <f>IF(AND(AM48&amp;""="0",SIGN(AK48-AL48)=SIGN($C48-$D48)),$J$2,"0")</f>
        <v>0</v>
      </c>
      <c r="AO48" s="8" t="str">
        <f>IF(AND(AM48&amp;""="0",AN48&amp;""="0"),"x","o")</f>
        <v>x</v>
      </c>
      <c r="AP48" s="8" t="str">
        <f>IF(AND(AN48=2,($C48-$D48)=(AK48-AL48)),$L$2,"x")</f>
        <v>x</v>
      </c>
      <c r="AQ48" s="8" t="str">
        <f>IF(AND(AM48&amp;""="0",AK48=$C48),$M$2,"x")</f>
        <v>x</v>
      </c>
      <c r="AR48" s="54">
        <f>IF(AND(AM48&amp;""="0",AL48=$D48),$N$2,"x")</f>
        <v>1</v>
      </c>
      <c r="AS48" s="9"/>
      <c r="AU48" s="29">
        <v>2</v>
      </c>
      <c r="AV48" s="30">
        <v>1</v>
      </c>
      <c r="AW48" s="22">
        <f>IF(AND(AU48=$C48,AV48=$D48),$I$2,0)</f>
        <v>0</v>
      </c>
      <c r="AX48" s="54">
        <f>IF(AND(AW48&amp;""="0",SIGN(AU48-AV48)=SIGN($C48-$D48)),$J$2,"0")</f>
        <v>2</v>
      </c>
      <c r="AY48" s="8" t="str">
        <f>IF(AND(AW48&amp;""="0",AX48&amp;""="0"),"x","o")</f>
        <v>o</v>
      </c>
      <c r="AZ48" s="8" t="str">
        <f>IF(AND(AX48=2,($C48-$D48)=(AU48-AV48)),$L$2,"x")</f>
        <v>x</v>
      </c>
      <c r="BA48" s="8" t="str">
        <f>IF(AND(AW48&amp;""="0",AU48=$C48),$M$2,"x")</f>
        <v>x</v>
      </c>
      <c r="BB48" s="54">
        <f>IF(AND(AW48&amp;""="0",AV48=$D48),$N$2,"x")</f>
        <v>1</v>
      </c>
      <c r="BC48" s="9"/>
      <c r="BE48" s="29">
        <v>1</v>
      </c>
      <c r="BF48" s="30">
        <v>3</v>
      </c>
      <c r="BG48" s="22">
        <f>IF(AND(BE48=$C48,BF48=$D48),$I$2,0)</f>
        <v>0</v>
      </c>
      <c r="BH48" s="54" t="str">
        <f>IF(AND(BG48&amp;""="0",SIGN(BE48-BF48)=SIGN($C48-$D48)),$J$2,"0")</f>
        <v>0</v>
      </c>
      <c r="BI48" s="8" t="str">
        <f>IF(AND(BG48&amp;""="0",BH48&amp;""="0"),"x","o")</f>
        <v>x</v>
      </c>
      <c r="BJ48" s="8" t="str">
        <f>IF(AND(BH48=2,($C48-$D48)=(BE48-BF48)),$L$2,"x")</f>
        <v>x</v>
      </c>
      <c r="BK48" s="8" t="str">
        <f>IF(AND(BG48&amp;""="0",BE48=$C48),$M$2,"x")</f>
        <v>x</v>
      </c>
      <c r="BL48" s="54" t="str">
        <f>IF(AND(BG48&amp;""="0",BF48=$D48),$N$2,"x")</f>
        <v>x</v>
      </c>
      <c r="BM48" s="9"/>
    </row>
    <row r="49" spans="2:65" x14ac:dyDescent="0.3">
      <c r="B49" s="10" t="s">
        <v>7</v>
      </c>
      <c r="C49" s="39">
        <v>0</v>
      </c>
      <c r="D49" s="39">
        <v>1</v>
      </c>
      <c r="E49" s="11" t="s">
        <v>6</v>
      </c>
      <c r="G49" s="31">
        <v>2</v>
      </c>
      <c r="H49" s="32">
        <v>3</v>
      </c>
      <c r="I49" s="23">
        <f t="shared" ref="I49:I56" si="181">IF(AND(G49=$C49,H49=$D49),$I$2,0)</f>
        <v>0</v>
      </c>
      <c r="J49" s="6">
        <f t="shared" ref="J49:J56" si="182">IF(AND(I49&amp;""="0",SIGN(G49-H49)=SIGN($C49-$D49)),$J$2,"0")</f>
        <v>2</v>
      </c>
      <c r="K49" s="6" t="str">
        <f t="shared" ref="K49:K56" si="183">IF(AND(I49&amp;""="0",J49&amp;""="0"),"x","o")</f>
        <v>o</v>
      </c>
      <c r="L49" s="6">
        <f t="shared" ref="L49:L56" si="184">IF(AND(J49=2,($C49-$D49)=(G49-H49)),$L$2,"x")</f>
        <v>1</v>
      </c>
      <c r="M49" s="6" t="str">
        <f t="shared" ref="M49:M56" si="185">IF(AND(I49&amp;""="0",G49=$C49),$M$2,"x")</f>
        <v>x</v>
      </c>
      <c r="N49" s="6" t="str">
        <f t="shared" ref="N49:N56" si="186">IF(AND(I49&amp;""="0",H49=$D49),$N$2,"x")</f>
        <v>x</v>
      </c>
      <c r="O49" s="11"/>
      <c r="Q49" s="31">
        <v>3</v>
      </c>
      <c r="R49" s="32">
        <v>0</v>
      </c>
      <c r="S49" s="23">
        <f t="shared" ref="S49:S56" si="187">IF(AND(Q49=$C49,R49=$D49),$I$2,0)</f>
        <v>0</v>
      </c>
      <c r="T49" s="6" t="str">
        <f t="shared" ref="T49:T56" si="188">IF(AND(S49&amp;""="0",SIGN(Q49-R49)=SIGN($C49-$D49)),$J$2,"0")</f>
        <v>0</v>
      </c>
      <c r="U49" s="6" t="str">
        <f t="shared" ref="U49:U56" si="189">IF(AND(S49&amp;""="0",T49&amp;""="0"),"x","o")</f>
        <v>x</v>
      </c>
      <c r="V49" s="6" t="str">
        <f t="shared" ref="V49:V56" si="190">IF(AND(T49=2,($C49-$D49)=(Q49-R49)),$L$2,"x")</f>
        <v>x</v>
      </c>
      <c r="W49" s="6" t="str">
        <f t="shared" ref="W49:W56" si="191">IF(AND(S49&amp;""="0",Q49=$C49),$M$2,"x")</f>
        <v>x</v>
      </c>
      <c r="X49" s="6" t="str">
        <f t="shared" ref="X49:X56" si="192">IF(AND(S49&amp;""="0",R49=$D49),$N$2,"x")</f>
        <v>x</v>
      </c>
      <c r="Y49" s="11"/>
      <c r="AA49" s="31">
        <v>2</v>
      </c>
      <c r="AB49" s="32">
        <v>2</v>
      </c>
      <c r="AC49" s="23">
        <f t="shared" ref="AC49:AC56" si="193">IF(AND(AA49=$C49,AB49=$D49),$I$2,0)</f>
        <v>0</v>
      </c>
      <c r="AD49" s="6" t="str">
        <f t="shared" ref="AD49:AD56" si="194">IF(AND(AC49&amp;""="0",SIGN(AA49-AB49)=SIGN($C49-$D49)),$J$2,"0")</f>
        <v>0</v>
      </c>
      <c r="AE49" s="6" t="str">
        <f t="shared" ref="AE49:AE56" si="195">IF(AND(AC49&amp;""="0",AD49&amp;""="0"),"x","o")</f>
        <v>x</v>
      </c>
      <c r="AF49" s="6" t="str">
        <f t="shared" ref="AF49:AF56" si="196">IF(AND(AD49=2,($C49-$D49)=(AA49-AB49)),$L$2,"x")</f>
        <v>x</v>
      </c>
      <c r="AG49" s="6" t="str">
        <f t="shared" ref="AG49:AG56" si="197">IF(AND(AC49&amp;""="0",AA49=$C49),$M$2,"x")</f>
        <v>x</v>
      </c>
      <c r="AH49" s="6" t="str">
        <f t="shared" ref="AH49:AH56" si="198">IF(AND(AC49&amp;""="0",AB49=$D49),$N$2,"x")</f>
        <v>x</v>
      </c>
      <c r="AI49" s="11"/>
      <c r="AK49" s="31">
        <v>2</v>
      </c>
      <c r="AL49" s="32">
        <v>3</v>
      </c>
      <c r="AM49" s="23">
        <f t="shared" ref="AM49:AM56" si="199">IF(AND(AK49=$C49,AL49=$D49),$I$2,0)</f>
        <v>0</v>
      </c>
      <c r="AN49" s="6">
        <f t="shared" ref="AN49:AN56" si="200">IF(AND(AM49&amp;""="0",SIGN(AK49-AL49)=SIGN($C49-$D49)),$J$2,"0")</f>
        <v>2</v>
      </c>
      <c r="AO49" s="6" t="str">
        <f t="shared" ref="AO49:AO56" si="201">IF(AND(AM49&amp;""="0",AN49&amp;""="0"),"x","o")</f>
        <v>o</v>
      </c>
      <c r="AP49" s="6">
        <f t="shared" ref="AP49:AP56" si="202">IF(AND(AN49=2,($C49-$D49)=(AK49-AL49)),$L$2,"x")</f>
        <v>1</v>
      </c>
      <c r="AQ49" s="6" t="str">
        <f t="shared" ref="AQ49:AQ56" si="203">IF(AND(AM49&amp;""="0",AK49=$C49),$M$2,"x")</f>
        <v>x</v>
      </c>
      <c r="AR49" s="6" t="str">
        <f t="shared" ref="AR49:AR56" si="204">IF(AND(AM49&amp;""="0",AL49=$D49),$N$2,"x")</f>
        <v>x</v>
      </c>
      <c r="AS49" s="11"/>
      <c r="AU49" s="31">
        <v>2</v>
      </c>
      <c r="AV49" s="32">
        <v>2</v>
      </c>
      <c r="AW49" s="23">
        <f t="shared" ref="AW49:AW56" si="205">IF(AND(AU49=$C49,AV49=$D49),$I$2,0)</f>
        <v>0</v>
      </c>
      <c r="AX49" s="6" t="str">
        <f t="shared" ref="AX49:AX56" si="206">IF(AND(AW49&amp;""="0",SIGN(AU49-AV49)=SIGN($C49-$D49)),$J$2,"0")</f>
        <v>0</v>
      </c>
      <c r="AY49" s="6" t="str">
        <f t="shared" ref="AY49:AY56" si="207">IF(AND(AW49&amp;""="0",AX49&amp;""="0"),"x","o")</f>
        <v>x</v>
      </c>
      <c r="AZ49" s="6" t="str">
        <f t="shared" ref="AZ49:AZ56" si="208">IF(AND(AX49=2,($C49-$D49)=(AU49-AV49)),$L$2,"x")</f>
        <v>x</v>
      </c>
      <c r="BA49" s="6" t="str">
        <f t="shared" ref="BA49:BA56" si="209">IF(AND(AW49&amp;""="0",AU49=$C49),$M$2,"x")</f>
        <v>x</v>
      </c>
      <c r="BB49" s="6" t="str">
        <f t="shared" ref="BB49:BB56" si="210">IF(AND(AW49&amp;""="0",AV49=$D49),$N$2,"x")</f>
        <v>x</v>
      </c>
      <c r="BC49" s="11"/>
      <c r="BE49" s="31">
        <v>2</v>
      </c>
      <c r="BF49" s="32">
        <v>2</v>
      </c>
      <c r="BG49" s="23">
        <f t="shared" ref="BG49:BG56" si="211">IF(AND(BE49=$C49,BF49=$D49),$I$2,0)</f>
        <v>0</v>
      </c>
      <c r="BH49" s="6" t="str">
        <f t="shared" ref="BH49:BH56" si="212">IF(AND(BG49&amp;""="0",SIGN(BE49-BF49)=SIGN($C49-$D49)),$J$2,"0")</f>
        <v>0</v>
      </c>
      <c r="BI49" s="6" t="str">
        <f t="shared" ref="BI49:BI56" si="213">IF(AND(BG49&amp;""="0",BH49&amp;""="0"),"x","o")</f>
        <v>x</v>
      </c>
      <c r="BJ49" s="6" t="str">
        <f t="shared" ref="BJ49:BJ56" si="214">IF(AND(BH49=2,($C49-$D49)=(BE49-BF49)),$L$2,"x")</f>
        <v>x</v>
      </c>
      <c r="BK49" s="6" t="str">
        <f t="shared" ref="BK49:BK56" si="215">IF(AND(BG49&amp;""="0",BE49=$C49),$M$2,"x")</f>
        <v>x</v>
      </c>
      <c r="BL49" s="6" t="str">
        <f t="shared" ref="BL49:BL56" si="216">IF(AND(BG49&amp;""="0",BF49=$D49),$N$2,"x")</f>
        <v>x</v>
      </c>
      <c r="BM49" s="11"/>
    </row>
    <row r="50" spans="2:65" x14ac:dyDescent="0.3">
      <c r="B50" s="10" t="s">
        <v>13</v>
      </c>
      <c r="C50" s="39">
        <v>3</v>
      </c>
      <c r="D50" s="39">
        <v>3</v>
      </c>
      <c r="E50" s="11" t="s">
        <v>4</v>
      </c>
      <c r="G50" s="31">
        <v>2</v>
      </c>
      <c r="H50" s="32">
        <v>1</v>
      </c>
      <c r="I50" s="23">
        <f t="shared" si="181"/>
        <v>0</v>
      </c>
      <c r="J50" s="55" t="str">
        <f t="shared" si="182"/>
        <v>0</v>
      </c>
      <c r="K50" s="6" t="str">
        <f t="shared" si="183"/>
        <v>x</v>
      </c>
      <c r="L50" s="6" t="str">
        <f t="shared" si="184"/>
        <v>x</v>
      </c>
      <c r="M50" s="6" t="str">
        <f t="shared" si="185"/>
        <v>x</v>
      </c>
      <c r="N50" s="6" t="str">
        <f t="shared" si="186"/>
        <v>x</v>
      </c>
      <c r="O50" s="11"/>
      <c r="Q50" s="31">
        <v>2</v>
      </c>
      <c r="R50" s="32">
        <v>3</v>
      </c>
      <c r="S50" s="23">
        <f t="shared" si="187"/>
        <v>0</v>
      </c>
      <c r="T50" s="55" t="str">
        <f t="shared" si="188"/>
        <v>0</v>
      </c>
      <c r="U50" s="6" t="str">
        <f t="shared" si="189"/>
        <v>x</v>
      </c>
      <c r="V50" s="6" t="str">
        <f t="shared" si="190"/>
        <v>x</v>
      </c>
      <c r="W50" s="6" t="str">
        <f t="shared" si="191"/>
        <v>x</v>
      </c>
      <c r="X50" s="6">
        <f t="shared" si="192"/>
        <v>1</v>
      </c>
      <c r="Y50" s="11"/>
      <c r="AA50" s="31">
        <v>1</v>
      </c>
      <c r="AB50" s="32">
        <v>2</v>
      </c>
      <c r="AC50" s="23">
        <f t="shared" si="193"/>
        <v>0</v>
      </c>
      <c r="AD50" s="55" t="str">
        <f t="shared" si="194"/>
        <v>0</v>
      </c>
      <c r="AE50" s="6" t="str">
        <f t="shared" si="195"/>
        <v>x</v>
      </c>
      <c r="AF50" s="6" t="str">
        <f t="shared" si="196"/>
        <v>x</v>
      </c>
      <c r="AG50" s="6" t="str">
        <f t="shared" si="197"/>
        <v>x</v>
      </c>
      <c r="AH50" s="6" t="str">
        <f t="shared" si="198"/>
        <v>x</v>
      </c>
      <c r="AI50" s="11"/>
      <c r="AK50" s="31">
        <v>3</v>
      </c>
      <c r="AL50" s="32">
        <v>2</v>
      </c>
      <c r="AM50" s="23">
        <f t="shared" si="199"/>
        <v>0</v>
      </c>
      <c r="AN50" s="55" t="str">
        <f t="shared" si="200"/>
        <v>0</v>
      </c>
      <c r="AO50" s="6" t="str">
        <f t="shared" si="201"/>
        <v>x</v>
      </c>
      <c r="AP50" s="6" t="str">
        <f t="shared" si="202"/>
        <v>x</v>
      </c>
      <c r="AQ50" s="6">
        <f t="shared" si="203"/>
        <v>1</v>
      </c>
      <c r="AR50" s="6" t="str">
        <f t="shared" si="204"/>
        <v>x</v>
      </c>
      <c r="AS50" s="11"/>
      <c r="AU50" s="31">
        <v>0</v>
      </c>
      <c r="AV50" s="32">
        <v>2</v>
      </c>
      <c r="AW50" s="23">
        <f t="shared" si="205"/>
        <v>0</v>
      </c>
      <c r="AX50" s="55" t="str">
        <f t="shared" si="206"/>
        <v>0</v>
      </c>
      <c r="AY50" s="6" t="str">
        <f t="shared" si="207"/>
        <v>x</v>
      </c>
      <c r="AZ50" s="6" t="str">
        <f t="shared" si="208"/>
        <v>x</v>
      </c>
      <c r="BA50" s="6" t="str">
        <f t="shared" si="209"/>
        <v>x</v>
      </c>
      <c r="BB50" s="6" t="str">
        <f t="shared" si="210"/>
        <v>x</v>
      </c>
      <c r="BC50" s="11"/>
      <c r="BE50" s="31">
        <v>1</v>
      </c>
      <c r="BF50" s="32">
        <v>2</v>
      </c>
      <c r="BG50" s="23">
        <f t="shared" si="211"/>
        <v>0</v>
      </c>
      <c r="BH50" s="55" t="str">
        <f t="shared" si="212"/>
        <v>0</v>
      </c>
      <c r="BI50" s="6" t="str">
        <f t="shared" si="213"/>
        <v>x</v>
      </c>
      <c r="BJ50" s="6" t="str">
        <f t="shared" si="214"/>
        <v>x</v>
      </c>
      <c r="BK50" s="6" t="str">
        <f t="shared" si="215"/>
        <v>x</v>
      </c>
      <c r="BL50" s="6" t="str">
        <f t="shared" si="216"/>
        <v>x</v>
      </c>
      <c r="BM50" s="11"/>
    </row>
    <row r="51" spans="2:65" x14ac:dyDescent="0.3">
      <c r="B51" s="10" t="s">
        <v>16</v>
      </c>
      <c r="C51" s="39">
        <v>2</v>
      </c>
      <c r="D51" s="39">
        <v>3</v>
      </c>
      <c r="E51" s="11" t="s">
        <v>2</v>
      </c>
      <c r="G51" s="31">
        <v>0</v>
      </c>
      <c r="H51" s="32">
        <v>1</v>
      </c>
      <c r="I51" s="23">
        <f t="shared" si="181"/>
        <v>0</v>
      </c>
      <c r="J51" s="6">
        <f t="shared" si="182"/>
        <v>2</v>
      </c>
      <c r="K51" s="6" t="str">
        <f t="shared" si="183"/>
        <v>o</v>
      </c>
      <c r="L51" s="6">
        <f t="shared" si="184"/>
        <v>1</v>
      </c>
      <c r="M51" s="6" t="str">
        <f t="shared" si="185"/>
        <v>x</v>
      </c>
      <c r="N51" s="6" t="str">
        <f t="shared" si="186"/>
        <v>x</v>
      </c>
      <c r="O51" s="11"/>
      <c r="Q51" s="31">
        <v>1</v>
      </c>
      <c r="R51" s="32">
        <v>3</v>
      </c>
      <c r="S51" s="23">
        <f t="shared" si="187"/>
        <v>0</v>
      </c>
      <c r="T51" s="6">
        <f t="shared" si="188"/>
        <v>2</v>
      </c>
      <c r="U51" s="6" t="str">
        <f t="shared" si="189"/>
        <v>o</v>
      </c>
      <c r="V51" s="6" t="str">
        <f t="shared" si="190"/>
        <v>x</v>
      </c>
      <c r="W51" s="6" t="str">
        <f t="shared" si="191"/>
        <v>x</v>
      </c>
      <c r="X51" s="6">
        <f t="shared" si="192"/>
        <v>1</v>
      </c>
      <c r="Y51" s="11"/>
      <c r="AA51" s="31">
        <v>0</v>
      </c>
      <c r="AB51" s="32">
        <v>3</v>
      </c>
      <c r="AC51" s="23">
        <f t="shared" si="193"/>
        <v>0</v>
      </c>
      <c r="AD51" s="6">
        <f t="shared" si="194"/>
        <v>2</v>
      </c>
      <c r="AE51" s="6" t="str">
        <f t="shared" si="195"/>
        <v>o</v>
      </c>
      <c r="AF51" s="6" t="str">
        <f t="shared" si="196"/>
        <v>x</v>
      </c>
      <c r="AG51" s="6" t="str">
        <f t="shared" si="197"/>
        <v>x</v>
      </c>
      <c r="AH51" s="6">
        <f t="shared" si="198"/>
        <v>1</v>
      </c>
      <c r="AI51" s="11"/>
      <c r="AK51" s="31">
        <v>0</v>
      </c>
      <c r="AL51" s="32">
        <v>1</v>
      </c>
      <c r="AM51" s="23">
        <f t="shared" si="199"/>
        <v>0</v>
      </c>
      <c r="AN51" s="6">
        <f t="shared" si="200"/>
        <v>2</v>
      </c>
      <c r="AO51" s="6" t="str">
        <f t="shared" si="201"/>
        <v>o</v>
      </c>
      <c r="AP51" s="6">
        <f t="shared" si="202"/>
        <v>1</v>
      </c>
      <c r="AQ51" s="6" t="str">
        <f t="shared" si="203"/>
        <v>x</v>
      </c>
      <c r="AR51" s="6" t="str">
        <f t="shared" si="204"/>
        <v>x</v>
      </c>
      <c r="AS51" s="11"/>
      <c r="AU51" s="31">
        <v>1</v>
      </c>
      <c r="AV51" s="32">
        <v>3</v>
      </c>
      <c r="AW51" s="23">
        <f t="shared" si="205"/>
        <v>0</v>
      </c>
      <c r="AX51" s="6">
        <f t="shared" si="206"/>
        <v>2</v>
      </c>
      <c r="AY51" s="6" t="str">
        <f t="shared" si="207"/>
        <v>o</v>
      </c>
      <c r="AZ51" s="6" t="str">
        <f t="shared" si="208"/>
        <v>x</v>
      </c>
      <c r="BA51" s="6" t="str">
        <f t="shared" si="209"/>
        <v>x</v>
      </c>
      <c r="BB51" s="6">
        <f t="shared" si="210"/>
        <v>1</v>
      </c>
      <c r="BC51" s="11"/>
      <c r="BE51" s="31">
        <v>2</v>
      </c>
      <c r="BF51" s="32">
        <v>2</v>
      </c>
      <c r="BG51" s="23">
        <f t="shared" si="211"/>
        <v>0</v>
      </c>
      <c r="BH51" s="6" t="str">
        <f t="shared" si="212"/>
        <v>0</v>
      </c>
      <c r="BI51" s="6" t="str">
        <f t="shared" si="213"/>
        <v>x</v>
      </c>
      <c r="BJ51" s="6" t="str">
        <f t="shared" si="214"/>
        <v>x</v>
      </c>
      <c r="BK51" s="6">
        <f t="shared" si="215"/>
        <v>1</v>
      </c>
      <c r="BL51" s="6" t="str">
        <f t="shared" si="216"/>
        <v>x</v>
      </c>
      <c r="BM51" s="11"/>
    </row>
    <row r="52" spans="2:65" x14ac:dyDescent="0.3">
      <c r="B52" s="10" t="s">
        <v>17</v>
      </c>
      <c r="C52" s="39">
        <v>1</v>
      </c>
      <c r="D52" s="39">
        <v>1</v>
      </c>
      <c r="E52" s="11" t="s">
        <v>8</v>
      </c>
      <c r="G52" s="31">
        <v>2</v>
      </c>
      <c r="H52" s="32">
        <v>1</v>
      </c>
      <c r="I52" s="23">
        <f t="shared" si="181"/>
        <v>0</v>
      </c>
      <c r="J52" s="6" t="str">
        <f t="shared" si="182"/>
        <v>0</v>
      </c>
      <c r="K52" s="6" t="str">
        <f t="shared" si="183"/>
        <v>x</v>
      </c>
      <c r="L52" s="6" t="str">
        <f t="shared" si="184"/>
        <v>x</v>
      </c>
      <c r="M52" s="6" t="str">
        <f t="shared" si="185"/>
        <v>x</v>
      </c>
      <c r="N52" s="6">
        <f t="shared" si="186"/>
        <v>1</v>
      </c>
      <c r="O52" s="11"/>
      <c r="Q52" s="31">
        <v>2</v>
      </c>
      <c r="R52" s="32">
        <v>1</v>
      </c>
      <c r="S52" s="23">
        <f t="shared" si="187"/>
        <v>0</v>
      </c>
      <c r="T52" s="6" t="str">
        <f t="shared" si="188"/>
        <v>0</v>
      </c>
      <c r="U52" s="6" t="str">
        <f t="shared" si="189"/>
        <v>x</v>
      </c>
      <c r="V52" s="6" t="str">
        <f t="shared" si="190"/>
        <v>x</v>
      </c>
      <c r="W52" s="6" t="str">
        <f t="shared" si="191"/>
        <v>x</v>
      </c>
      <c r="X52" s="6">
        <f t="shared" si="192"/>
        <v>1</v>
      </c>
      <c r="Y52" s="11"/>
      <c r="AA52" s="31">
        <v>0</v>
      </c>
      <c r="AB52" s="32">
        <v>0</v>
      </c>
      <c r="AC52" s="23">
        <f t="shared" si="193"/>
        <v>0</v>
      </c>
      <c r="AD52" s="6">
        <f t="shared" si="194"/>
        <v>2</v>
      </c>
      <c r="AE52" s="6" t="str">
        <f t="shared" si="195"/>
        <v>o</v>
      </c>
      <c r="AF52" s="6">
        <f t="shared" si="196"/>
        <v>1</v>
      </c>
      <c r="AG52" s="6" t="str">
        <f t="shared" si="197"/>
        <v>x</v>
      </c>
      <c r="AH52" s="6" t="str">
        <f t="shared" si="198"/>
        <v>x</v>
      </c>
      <c r="AI52" s="11"/>
      <c r="AK52" s="31">
        <v>3</v>
      </c>
      <c r="AL52" s="32">
        <v>0</v>
      </c>
      <c r="AM52" s="23">
        <f t="shared" si="199"/>
        <v>0</v>
      </c>
      <c r="AN52" s="6" t="str">
        <f t="shared" si="200"/>
        <v>0</v>
      </c>
      <c r="AO52" s="6" t="str">
        <f t="shared" si="201"/>
        <v>x</v>
      </c>
      <c r="AP52" s="6" t="str">
        <f t="shared" si="202"/>
        <v>x</v>
      </c>
      <c r="AQ52" s="6" t="str">
        <f t="shared" si="203"/>
        <v>x</v>
      </c>
      <c r="AR52" s="6" t="str">
        <f t="shared" si="204"/>
        <v>x</v>
      </c>
      <c r="AS52" s="11"/>
      <c r="AU52" s="31">
        <v>1</v>
      </c>
      <c r="AV52" s="32">
        <v>1</v>
      </c>
      <c r="AW52" s="23">
        <f t="shared" si="205"/>
        <v>10</v>
      </c>
      <c r="AX52" s="6" t="str">
        <f t="shared" si="206"/>
        <v>0</v>
      </c>
      <c r="AY52" s="6" t="str">
        <f t="shared" si="207"/>
        <v>o</v>
      </c>
      <c r="AZ52" s="6" t="str">
        <f t="shared" si="208"/>
        <v>x</v>
      </c>
      <c r="BA52" s="6" t="str">
        <f t="shared" si="209"/>
        <v>x</v>
      </c>
      <c r="BB52" s="6" t="str">
        <f t="shared" si="210"/>
        <v>x</v>
      </c>
      <c r="BC52" s="11"/>
      <c r="BE52" s="31">
        <v>3</v>
      </c>
      <c r="BF52" s="32">
        <v>3</v>
      </c>
      <c r="BG52" s="23">
        <f t="shared" si="211"/>
        <v>0</v>
      </c>
      <c r="BH52" s="6">
        <f t="shared" si="212"/>
        <v>2</v>
      </c>
      <c r="BI52" s="6" t="str">
        <f t="shared" si="213"/>
        <v>o</v>
      </c>
      <c r="BJ52" s="6">
        <f t="shared" si="214"/>
        <v>1</v>
      </c>
      <c r="BK52" s="6" t="str">
        <f t="shared" si="215"/>
        <v>x</v>
      </c>
      <c r="BL52" s="6" t="str">
        <f t="shared" si="216"/>
        <v>x</v>
      </c>
      <c r="BM52" s="11"/>
    </row>
    <row r="53" spans="2:65" x14ac:dyDescent="0.3">
      <c r="B53" s="10" t="s">
        <v>9</v>
      </c>
      <c r="C53" s="39">
        <v>0</v>
      </c>
      <c r="D53" s="39">
        <v>1</v>
      </c>
      <c r="E53" s="11" t="s">
        <v>5</v>
      </c>
      <c r="G53" s="31">
        <v>0</v>
      </c>
      <c r="H53" s="32">
        <v>2</v>
      </c>
      <c r="I53" s="23">
        <f t="shared" si="181"/>
        <v>0</v>
      </c>
      <c r="J53" s="6">
        <f t="shared" si="182"/>
        <v>2</v>
      </c>
      <c r="K53" s="6" t="str">
        <f t="shared" si="183"/>
        <v>o</v>
      </c>
      <c r="L53" s="6" t="str">
        <f t="shared" si="184"/>
        <v>x</v>
      </c>
      <c r="M53" s="6">
        <f t="shared" si="185"/>
        <v>1</v>
      </c>
      <c r="N53" s="6" t="str">
        <f t="shared" si="186"/>
        <v>x</v>
      </c>
      <c r="O53" s="11"/>
      <c r="Q53" s="31">
        <v>2</v>
      </c>
      <c r="R53" s="32">
        <v>0</v>
      </c>
      <c r="S53" s="23">
        <f t="shared" si="187"/>
        <v>0</v>
      </c>
      <c r="T53" s="6" t="str">
        <f t="shared" si="188"/>
        <v>0</v>
      </c>
      <c r="U53" s="6" t="str">
        <f t="shared" si="189"/>
        <v>x</v>
      </c>
      <c r="V53" s="6" t="str">
        <f t="shared" si="190"/>
        <v>x</v>
      </c>
      <c r="W53" s="6" t="str">
        <f t="shared" si="191"/>
        <v>x</v>
      </c>
      <c r="X53" s="6" t="str">
        <f t="shared" si="192"/>
        <v>x</v>
      </c>
      <c r="Y53" s="11"/>
      <c r="AA53" s="31">
        <v>1</v>
      </c>
      <c r="AB53" s="32">
        <v>2</v>
      </c>
      <c r="AC53" s="23">
        <f t="shared" si="193"/>
        <v>0</v>
      </c>
      <c r="AD53" s="6">
        <f t="shared" si="194"/>
        <v>2</v>
      </c>
      <c r="AE53" s="6" t="str">
        <f t="shared" si="195"/>
        <v>o</v>
      </c>
      <c r="AF53" s="6">
        <f t="shared" si="196"/>
        <v>1</v>
      </c>
      <c r="AG53" s="6" t="str">
        <f t="shared" si="197"/>
        <v>x</v>
      </c>
      <c r="AH53" s="6" t="str">
        <f t="shared" si="198"/>
        <v>x</v>
      </c>
      <c r="AI53" s="11"/>
      <c r="AK53" s="31">
        <v>3</v>
      </c>
      <c r="AL53" s="32">
        <v>3</v>
      </c>
      <c r="AM53" s="23">
        <f t="shared" si="199"/>
        <v>0</v>
      </c>
      <c r="AN53" s="6" t="str">
        <f t="shared" si="200"/>
        <v>0</v>
      </c>
      <c r="AO53" s="6" t="str">
        <f t="shared" si="201"/>
        <v>x</v>
      </c>
      <c r="AP53" s="6" t="str">
        <f t="shared" si="202"/>
        <v>x</v>
      </c>
      <c r="AQ53" s="6" t="str">
        <f t="shared" si="203"/>
        <v>x</v>
      </c>
      <c r="AR53" s="6" t="str">
        <f t="shared" si="204"/>
        <v>x</v>
      </c>
      <c r="AS53" s="11"/>
      <c r="AU53" s="31">
        <v>0</v>
      </c>
      <c r="AV53" s="32">
        <v>0</v>
      </c>
      <c r="AW53" s="23">
        <f t="shared" si="205"/>
        <v>0</v>
      </c>
      <c r="AX53" s="6" t="str">
        <f t="shared" si="206"/>
        <v>0</v>
      </c>
      <c r="AY53" s="6" t="str">
        <f t="shared" si="207"/>
        <v>x</v>
      </c>
      <c r="AZ53" s="6" t="str">
        <f t="shared" si="208"/>
        <v>x</v>
      </c>
      <c r="BA53" s="6">
        <f t="shared" si="209"/>
        <v>1</v>
      </c>
      <c r="BB53" s="6" t="str">
        <f t="shared" si="210"/>
        <v>x</v>
      </c>
      <c r="BC53" s="11"/>
      <c r="BE53" s="31">
        <v>1</v>
      </c>
      <c r="BF53" s="32">
        <v>1</v>
      </c>
      <c r="BG53" s="23">
        <f t="shared" si="211"/>
        <v>0</v>
      </c>
      <c r="BH53" s="6" t="str">
        <f t="shared" si="212"/>
        <v>0</v>
      </c>
      <c r="BI53" s="6" t="str">
        <f t="shared" si="213"/>
        <v>x</v>
      </c>
      <c r="BJ53" s="6" t="str">
        <f t="shared" si="214"/>
        <v>x</v>
      </c>
      <c r="BK53" s="6" t="str">
        <f t="shared" si="215"/>
        <v>x</v>
      </c>
      <c r="BL53" s="6">
        <f t="shared" si="216"/>
        <v>1</v>
      </c>
      <c r="BM53" s="11"/>
    </row>
    <row r="54" spans="2:65" x14ac:dyDescent="0.3">
      <c r="B54" s="10" t="s">
        <v>15</v>
      </c>
      <c r="C54" s="39">
        <v>2</v>
      </c>
      <c r="D54" s="39">
        <v>3</v>
      </c>
      <c r="E54" s="11" t="s">
        <v>3</v>
      </c>
      <c r="G54" s="31">
        <v>1</v>
      </c>
      <c r="H54" s="32">
        <v>3</v>
      </c>
      <c r="I54" s="23">
        <f t="shared" si="181"/>
        <v>0</v>
      </c>
      <c r="J54" s="6">
        <f t="shared" si="182"/>
        <v>2</v>
      </c>
      <c r="K54" s="6" t="str">
        <f t="shared" si="183"/>
        <v>o</v>
      </c>
      <c r="L54" s="6" t="str">
        <f t="shared" si="184"/>
        <v>x</v>
      </c>
      <c r="M54" s="6" t="str">
        <f t="shared" si="185"/>
        <v>x</v>
      </c>
      <c r="N54" s="55">
        <f t="shared" si="186"/>
        <v>1</v>
      </c>
      <c r="O54" s="11"/>
      <c r="Q54" s="31">
        <v>1</v>
      </c>
      <c r="R54" s="32">
        <v>1</v>
      </c>
      <c r="S54" s="23">
        <f t="shared" si="187"/>
        <v>0</v>
      </c>
      <c r="T54" s="6" t="str">
        <f t="shared" si="188"/>
        <v>0</v>
      </c>
      <c r="U54" s="6" t="str">
        <f t="shared" si="189"/>
        <v>x</v>
      </c>
      <c r="V54" s="6" t="str">
        <f t="shared" si="190"/>
        <v>x</v>
      </c>
      <c r="W54" s="6" t="str">
        <f t="shared" si="191"/>
        <v>x</v>
      </c>
      <c r="X54" s="55" t="str">
        <f t="shared" si="192"/>
        <v>x</v>
      </c>
      <c r="Y54" s="11"/>
      <c r="AA54" s="31">
        <v>3</v>
      </c>
      <c r="AB54" s="32">
        <v>3</v>
      </c>
      <c r="AC54" s="23">
        <f t="shared" si="193"/>
        <v>0</v>
      </c>
      <c r="AD54" s="6" t="str">
        <f t="shared" si="194"/>
        <v>0</v>
      </c>
      <c r="AE54" s="6" t="str">
        <f t="shared" si="195"/>
        <v>x</v>
      </c>
      <c r="AF54" s="6" t="str">
        <f t="shared" si="196"/>
        <v>x</v>
      </c>
      <c r="AG54" s="6" t="str">
        <f t="shared" si="197"/>
        <v>x</v>
      </c>
      <c r="AH54" s="55">
        <f t="shared" si="198"/>
        <v>1</v>
      </c>
      <c r="AI54" s="11"/>
      <c r="AK54" s="31">
        <v>0</v>
      </c>
      <c r="AL54" s="32">
        <v>0</v>
      </c>
      <c r="AM54" s="23">
        <f t="shared" si="199"/>
        <v>0</v>
      </c>
      <c r="AN54" s="6" t="str">
        <f t="shared" si="200"/>
        <v>0</v>
      </c>
      <c r="AO54" s="6" t="str">
        <f t="shared" si="201"/>
        <v>x</v>
      </c>
      <c r="AP54" s="6" t="str">
        <f t="shared" si="202"/>
        <v>x</v>
      </c>
      <c r="AQ54" s="6" t="str">
        <f t="shared" si="203"/>
        <v>x</v>
      </c>
      <c r="AR54" s="55" t="str">
        <f t="shared" si="204"/>
        <v>x</v>
      </c>
      <c r="AS54" s="11"/>
      <c r="AU54" s="31">
        <v>1</v>
      </c>
      <c r="AV54" s="32">
        <v>3</v>
      </c>
      <c r="AW54" s="23">
        <f t="shared" si="205"/>
        <v>0</v>
      </c>
      <c r="AX54" s="6">
        <f t="shared" si="206"/>
        <v>2</v>
      </c>
      <c r="AY54" s="6" t="str">
        <f t="shared" si="207"/>
        <v>o</v>
      </c>
      <c r="AZ54" s="6" t="str">
        <f t="shared" si="208"/>
        <v>x</v>
      </c>
      <c r="BA54" s="6" t="str">
        <f t="shared" si="209"/>
        <v>x</v>
      </c>
      <c r="BB54" s="55">
        <f t="shared" si="210"/>
        <v>1</v>
      </c>
      <c r="BC54" s="11"/>
      <c r="BE54" s="31">
        <v>0</v>
      </c>
      <c r="BF54" s="32">
        <v>2</v>
      </c>
      <c r="BG54" s="23">
        <f t="shared" si="211"/>
        <v>0</v>
      </c>
      <c r="BH54" s="6">
        <f t="shared" si="212"/>
        <v>2</v>
      </c>
      <c r="BI54" s="6" t="str">
        <f t="shared" si="213"/>
        <v>o</v>
      </c>
      <c r="BJ54" s="6" t="str">
        <f t="shared" si="214"/>
        <v>x</v>
      </c>
      <c r="BK54" s="6" t="str">
        <f t="shared" si="215"/>
        <v>x</v>
      </c>
      <c r="BL54" s="55" t="str">
        <f t="shared" si="216"/>
        <v>x</v>
      </c>
      <c r="BM54" s="11"/>
    </row>
    <row r="55" spans="2:65" x14ac:dyDescent="0.3">
      <c r="B55" s="10" t="s">
        <v>11</v>
      </c>
      <c r="C55" s="39">
        <v>0</v>
      </c>
      <c r="D55" s="39">
        <v>3</v>
      </c>
      <c r="E55" s="11" t="s">
        <v>1</v>
      </c>
      <c r="G55" s="31">
        <v>0</v>
      </c>
      <c r="H55" s="32">
        <v>2</v>
      </c>
      <c r="I55" s="23">
        <f t="shared" si="181"/>
        <v>0</v>
      </c>
      <c r="J55" s="55">
        <f t="shared" si="182"/>
        <v>2</v>
      </c>
      <c r="K55" s="6" t="str">
        <f t="shared" si="183"/>
        <v>o</v>
      </c>
      <c r="L55" s="6" t="str">
        <f t="shared" si="184"/>
        <v>x</v>
      </c>
      <c r="M55" s="6">
        <f t="shared" si="185"/>
        <v>1</v>
      </c>
      <c r="N55" s="6" t="str">
        <f t="shared" si="186"/>
        <v>x</v>
      </c>
      <c r="O55" s="11"/>
      <c r="Q55" s="31">
        <v>3</v>
      </c>
      <c r="R55" s="32">
        <v>1</v>
      </c>
      <c r="S55" s="23">
        <f t="shared" si="187"/>
        <v>0</v>
      </c>
      <c r="T55" s="55" t="str">
        <f t="shared" si="188"/>
        <v>0</v>
      </c>
      <c r="U55" s="6" t="str">
        <f t="shared" si="189"/>
        <v>x</v>
      </c>
      <c r="V55" s="6" t="str">
        <f t="shared" si="190"/>
        <v>x</v>
      </c>
      <c r="W55" s="6" t="str">
        <f t="shared" si="191"/>
        <v>x</v>
      </c>
      <c r="X55" s="6" t="str">
        <f t="shared" si="192"/>
        <v>x</v>
      </c>
      <c r="Y55" s="11"/>
      <c r="AA55" s="31">
        <v>3</v>
      </c>
      <c r="AB55" s="32">
        <v>3</v>
      </c>
      <c r="AC55" s="23">
        <f t="shared" si="193"/>
        <v>0</v>
      </c>
      <c r="AD55" s="55" t="str">
        <f t="shared" si="194"/>
        <v>0</v>
      </c>
      <c r="AE55" s="6" t="str">
        <f t="shared" si="195"/>
        <v>x</v>
      </c>
      <c r="AF55" s="6" t="str">
        <f t="shared" si="196"/>
        <v>x</v>
      </c>
      <c r="AG55" s="6" t="str">
        <f t="shared" si="197"/>
        <v>x</v>
      </c>
      <c r="AH55" s="6">
        <f t="shared" si="198"/>
        <v>1</v>
      </c>
      <c r="AI55" s="11"/>
      <c r="AK55" s="31">
        <v>0</v>
      </c>
      <c r="AL55" s="32">
        <v>2</v>
      </c>
      <c r="AM55" s="23">
        <f t="shared" si="199"/>
        <v>0</v>
      </c>
      <c r="AN55" s="55">
        <f t="shared" si="200"/>
        <v>2</v>
      </c>
      <c r="AO55" s="6" t="str">
        <f t="shared" si="201"/>
        <v>o</v>
      </c>
      <c r="AP55" s="6" t="str">
        <f t="shared" si="202"/>
        <v>x</v>
      </c>
      <c r="AQ55" s="6">
        <f t="shared" si="203"/>
        <v>1</v>
      </c>
      <c r="AR55" s="6" t="str">
        <f t="shared" si="204"/>
        <v>x</v>
      </c>
      <c r="AS55" s="11"/>
      <c r="AU55" s="31">
        <v>3</v>
      </c>
      <c r="AV55" s="32">
        <v>3</v>
      </c>
      <c r="AW55" s="23">
        <f t="shared" si="205"/>
        <v>0</v>
      </c>
      <c r="AX55" s="55" t="str">
        <f t="shared" si="206"/>
        <v>0</v>
      </c>
      <c r="AY55" s="6" t="str">
        <f t="shared" si="207"/>
        <v>x</v>
      </c>
      <c r="AZ55" s="6" t="str">
        <f t="shared" si="208"/>
        <v>x</v>
      </c>
      <c r="BA55" s="6" t="str">
        <f t="shared" si="209"/>
        <v>x</v>
      </c>
      <c r="BB55" s="6">
        <f t="shared" si="210"/>
        <v>1</v>
      </c>
      <c r="BC55" s="11"/>
      <c r="BE55" s="31">
        <v>2</v>
      </c>
      <c r="BF55" s="32">
        <v>3</v>
      </c>
      <c r="BG55" s="23">
        <f t="shared" si="211"/>
        <v>0</v>
      </c>
      <c r="BH55" s="55">
        <f t="shared" si="212"/>
        <v>2</v>
      </c>
      <c r="BI55" s="6" t="str">
        <f t="shared" si="213"/>
        <v>o</v>
      </c>
      <c r="BJ55" s="6" t="str">
        <f t="shared" si="214"/>
        <v>x</v>
      </c>
      <c r="BK55" s="6" t="str">
        <f t="shared" si="215"/>
        <v>x</v>
      </c>
      <c r="BL55" s="6">
        <f t="shared" si="216"/>
        <v>1</v>
      </c>
      <c r="BM55" s="11"/>
    </row>
    <row r="56" spans="2:65" ht="16.2" thickBot="1" x14ac:dyDescent="0.35">
      <c r="B56" s="12" t="s">
        <v>10</v>
      </c>
      <c r="C56" s="40">
        <v>2</v>
      </c>
      <c r="D56" s="40">
        <v>2</v>
      </c>
      <c r="E56" s="14" t="s">
        <v>14</v>
      </c>
      <c r="G56" s="33">
        <v>2</v>
      </c>
      <c r="H56" s="34">
        <v>0</v>
      </c>
      <c r="I56" s="24">
        <f t="shared" si="181"/>
        <v>0</v>
      </c>
      <c r="J56" s="13" t="str">
        <f t="shared" si="182"/>
        <v>0</v>
      </c>
      <c r="K56" s="13" t="str">
        <f t="shared" si="183"/>
        <v>x</v>
      </c>
      <c r="L56" s="13" t="str">
        <f t="shared" si="184"/>
        <v>x</v>
      </c>
      <c r="M56" s="26">
        <f t="shared" si="185"/>
        <v>1</v>
      </c>
      <c r="N56" s="58" t="str">
        <f t="shared" si="186"/>
        <v>x</v>
      </c>
      <c r="O56" s="14"/>
      <c r="Q56" s="33">
        <v>2</v>
      </c>
      <c r="R56" s="34">
        <v>0</v>
      </c>
      <c r="S56" s="24">
        <f t="shared" si="187"/>
        <v>0</v>
      </c>
      <c r="T56" s="13" t="str">
        <f t="shared" si="188"/>
        <v>0</v>
      </c>
      <c r="U56" s="13" t="str">
        <f t="shared" si="189"/>
        <v>x</v>
      </c>
      <c r="V56" s="13" t="str">
        <f t="shared" si="190"/>
        <v>x</v>
      </c>
      <c r="W56" s="26">
        <f t="shared" si="191"/>
        <v>1</v>
      </c>
      <c r="X56" s="58" t="str">
        <f t="shared" si="192"/>
        <v>x</v>
      </c>
      <c r="Y56" s="14"/>
      <c r="AA56" s="33">
        <v>3</v>
      </c>
      <c r="AB56" s="34">
        <v>1</v>
      </c>
      <c r="AC56" s="24">
        <f t="shared" si="193"/>
        <v>0</v>
      </c>
      <c r="AD56" s="13" t="str">
        <f t="shared" si="194"/>
        <v>0</v>
      </c>
      <c r="AE56" s="13" t="str">
        <f t="shared" si="195"/>
        <v>x</v>
      </c>
      <c r="AF56" s="13" t="str">
        <f t="shared" si="196"/>
        <v>x</v>
      </c>
      <c r="AG56" s="26" t="str">
        <f t="shared" si="197"/>
        <v>x</v>
      </c>
      <c r="AH56" s="58" t="str">
        <f t="shared" si="198"/>
        <v>x</v>
      </c>
      <c r="AI56" s="14"/>
      <c r="AK56" s="33">
        <v>0</v>
      </c>
      <c r="AL56" s="34">
        <v>0</v>
      </c>
      <c r="AM56" s="24">
        <f t="shared" si="199"/>
        <v>0</v>
      </c>
      <c r="AN56" s="13">
        <f t="shared" si="200"/>
        <v>2</v>
      </c>
      <c r="AO56" s="13" t="str">
        <f t="shared" si="201"/>
        <v>o</v>
      </c>
      <c r="AP56" s="13">
        <f t="shared" si="202"/>
        <v>1</v>
      </c>
      <c r="AQ56" s="26" t="str">
        <f t="shared" si="203"/>
        <v>x</v>
      </c>
      <c r="AR56" s="58" t="str">
        <f t="shared" si="204"/>
        <v>x</v>
      </c>
      <c r="AS56" s="14"/>
      <c r="AU56" s="33">
        <v>3</v>
      </c>
      <c r="AV56" s="34">
        <v>3</v>
      </c>
      <c r="AW56" s="24">
        <f t="shared" si="205"/>
        <v>0</v>
      </c>
      <c r="AX56" s="13">
        <f t="shared" si="206"/>
        <v>2</v>
      </c>
      <c r="AY56" s="13" t="str">
        <f t="shared" si="207"/>
        <v>o</v>
      </c>
      <c r="AZ56" s="13">
        <f t="shared" si="208"/>
        <v>1</v>
      </c>
      <c r="BA56" s="26" t="str">
        <f t="shared" si="209"/>
        <v>x</v>
      </c>
      <c r="BB56" s="58" t="str">
        <f t="shared" si="210"/>
        <v>x</v>
      </c>
      <c r="BC56" s="14"/>
      <c r="BE56" s="33">
        <v>0</v>
      </c>
      <c r="BF56" s="34">
        <v>3</v>
      </c>
      <c r="BG56" s="24">
        <f t="shared" si="211"/>
        <v>0</v>
      </c>
      <c r="BH56" s="13" t="str">
        <f t="shared" si="212"/>
        <v>0</v>
      </c>
      <c r="BI56" s="13" t="str">
        <f t="shared" si="213"/>
        <v>x</v>
      </c>
      <c r="BJ56" s="13" t="str">
        <f t="shared" si="214"/>
        <v>x</v>
      </c>
      <c r="BK56" s="26" t="str">
        <f t="shared" si="215"/>
        <v>x</v>
      </c>
      <c r="BL56" s="58" t="str">
        <f t="shared" si="216"/>
        <v>x</v>
      </c>
      <c r="BM56" s="14"/>
    </row>
    <row r="57" spans="2:65" s="42" customFormat="1" ht="21.6" thickBot="1" x14ac:dyDescent="0.45">
      <c r="B57" s="35"/>
      <c r="C57" s="35"/>
      <c r="D57" s="35"/>
      <c r="E57" s="35"/>
      <c r="G57" s="47">
        <f>SUM(I57:O57)</f>
        <v>18</v>
      </c>
      <c r="H57" s="35"/>
      <c r="I57" s="43">
        <f t="shared" ref="I57:O57" si="217">SUM(I48:I56)</f>
        <v>0</v>
      </c>
      <c r="J57" s="56">
        <f t="shared" si="217"/>
        <v>10</v>
      </c>
      <c r="K57" s="44">
        <f t="shared" si="217"/>
        <v>0</v>
      </c>
      <c r="L57" s="56">
        <f t="shared" si="217"/>
        <v>2</v>
      </c>
      <c r="M57" s="56">
        <f t="shared" si="217"/>
        <v>3</v>
      </c>
      <c r="N57" s="56">
        <f t="shared" si="217"/>
        <v>3</v>
      </c>
      <c r="O57" s="45"/>
      <c r="Q57" s="47">
        <f>SUM(S57:Y57)</f>
        <v>8</v>
      </c>
      <c r="R57" s="35"/>
      <c r="S57" s="43">
        <f t="shared" ref="S57:Y57" si="218">SUM(S48:S56)</f>
        <v>0</v>
      </c>
      <c r="T57" s="44">
        <f t="shared" si="218"/>
        <v>4</v>
      </c>
      <c r="U57" s="44">
        <f t="shared" si="218"/>
        <v>0</v>
      </c>
      <c r="V57" s="44">
        <f t="shared" si="218"/>
        <v>0</v>
      </c>
      <c r="W57" s="44">
        <f t="shared" si="218"/>
        <v>1</v>
      </c>
      <c r="X57" s="44">
        <f t="shared" si="218"/>
        <v>3</v>
      </c>
      <c r="Y57" s="45"/>
      <c r="AA57" s="47">
        <f>SUM(AC57:AI57)</f>
        <v>11</v>
      </c>
      <c r="AB57" s="35"/>
      <c r="AC57" s="43">
        <f t="shared" ref="AC57:AI57" si="219">SUM(AC48:AC56)</f>
        <v>0</v>
      </c>
      <c r="AD57" s="44">
        <f t="shared" si="219"/>
        <v>6</v>
      </c>
      <c r="AE57" s="44">
        <f t="shared" si="219"/>
        <v>0</v>
      </c>
      <c r="AF57" s="44">
        <f t="shared" si="219"/>
        <v>2</v>
      </c>
      <c r="AG57" s="44">
        <f t="shared" si="219"/>
        <v>0</v>
      </c>
      <c r="AH57" s="44">
        <f t="shared" si="219"/>
        <v>3</v>
      </c>
      <c r="AI57" s="45"/>
      <c r="AK57" s="47">
        <f>SUM(AM57:AS57)</f>
        <v>14</v>
      </c>
      <c r="AL57" s="35"/>
      <c r="AM57" s="43">
        <f t="shared" ref="AM57:AS57" si="220">SUM(AM48:AM56)</f>
        <v>0</v>
      </c>
      <c r="AN57" s="44">
        <f t="shared" si="220"/>
        <v>8</v>
      </c>
      <c r="AO57" s="44">
        <f t="shared" si="220"/>
        <v>0</v>
      </c>
      <c r="AP57" s="44">
        <f t="shared" si="220"/>
        <v>3</v>
      </c>
      <c r="AQ57" s="44">
        <f t="shared" si="220"/>
        <v>2</v>
      </c>
      <c r="AR57" s="44">
        <f t="shared" si="220"/>
        <v>1</v>
      </c>
      <c r="AS57" s="45"/>
      <c r="AU57" s="47">
        <f>SUM(AW57:BC57)</f>
        <v>26</v>
      </c>
      <c r="AV57" s="35"/>
      <c r="AW57" s="43">
        <f t="shared" ref="AW57:BB57" si="221">SUM(AW48:AW56)</f>
        <v>10</v>
      </c>
      <c r="AX57" s="44">
        <f t="shared" si="221"/>
        <v>8</v>
      </c>
      <c r="AY57" s="44">
        <f t="shared" si="221"/>
        <v>0</v>
      </c>
      <c r="AZ57" s="44">
        <f t="shared" si="221"/>
        <v>1</v>
      </c>
      <c r="BA57" s="44">
        <f t="shared" si="221"/>
        <v>1</v>
      </c>
      <c r="BB57" s="44">
        <f t="shared" si="221"/>
        <v>4</v>
      </c>
      <c r="BC57" s="59">
        <v>2</v>
      </c>
      <c r="BE57" s="47">
        <f>SUM(BG57:BM57)</f>
        <v>10</v>
      </c>
      <c r="BF57" s="35"/>
      <c r="BG57" s="43">
        <f t="shared" ref="BG57:BM57" si="222">SUM(BG48:BG56)</f>
        <v>0</v>
      </c>
      <c r="BH57" s="44">
        <f t="shared" si="222"/>
        <v>6</v>
      </c>
      <c r="BI57" s="44">
        <f t="shared" si="222"/>
        <v>0</v>
      </c>
      <c r="BJ57" s="44">
        <f t="shared" si="222"/>
        <v>1</v>
      </c>
      <c r="BK57" s="44">
        <f t="shared" si="222"/>
        <v>1</v>
      </c>
      <c r="BL57" s="44">
        <f t="shared" si="222"/>
        <v>2</v>
      </c>
      <c r="BM57" s="45"/>
    </row>
    <row r="58" spans="2:65" ht="16.2" thickBot="1" x14ac:dyDescent="0.35"/>
    <row r="59" spans="2:65" ht="26.4" thickBot="1" x14ac:dyDescent="0.45">
      <c r="G59" s="66">
        <f>G57+G46+G35+G24+G13</f>
        <v>67</v>
      </c>
      <c r="I59" s="47">
        <f>COUNTIF(I4:I12,"&gt;0")+COUNTIF(I15:I23,"&gt;0")+COUNTIF(I26:I34,"&gt;0")+COUNTIF(I37:I45,"&gt;0")+COUNTIF(I48:I56,"&gt;0")</f>
        <v>1</v>
      </c>
      <c r="J59" s="47">
        <f t="shared" ref="J59:N59" si="223">COUNTIF(J4:J12,"&gt;0")+COUNTIF(J15:J23,"&gt;0")+COUNTIF(J26:J34,"&gt;0")+COUNTIF(J37:J45,"&gt;0")+COUNTIF(J48:J56,"&gt;0")</f>
        <v>15</v>
      </c>
      <c r="K59" s="4">
        <f t="shared" si="223"/>
        <v>0</v>
      </c>
      <c r="L59" s="47">
        <f t="shared" si="223"/>
        <v>6</v>
      </c>
      <c r="M59" s="47">
        <f t="shared" si="223"/>
        <v>10</v>
      </c>
      <c r="N59" s="47">
        <f t="shared" si="223"/>
        <v>11</v>
      </c>
      <c r="O59" s="60">
        <f>COUNTIF(O4:O57,"&gt;0")</f>
        <v>0</v>
      </c>
      <c r="Q59" s="66">
        <f>Q57+Q46+Q35+Q24+Q13</f>
        <v>91</v>
      </c>
      <c r="S59" s="47">
        <f>COUNTIF(S4:S12,"&gt;0")+COUNTIF(S15:S23,"&gt;0")+COUNTIF(S26:S34,"&gt;0")+COUNTIF(S37:S45,"&gt;0")+COUNTIF(S48:S56,"&gt;0")</f>
        <v>5</v>
      </c>
      <c r="T59" s="47">
        <f t="shared" ref="T59:X59" si="224">COUNTIF(T4:T12,"&gt;0")+COUNTIF(T15:T23,"&gt;0")+COUNTIF(T26:T34,"&gt;0")+COUNTIF(T37:T45,"&gt;0")+COUNTIF(T48:T56,"&gt;0")</f>
        <v>8</v>
      </c>
      <c r="U59" s="4">
        <f t="shared" si="224"/>
        <v>0</v>
      </c>
      <c r="V59" s="47">
        <f t="shared" si="224"/>
        <v>1</v>
      </c>
      <c r="W59" s="47">
        <f t="shared" si="224"/>
        <v>13</v>
      </c>
      <c r="X59" s="47">
        <f t="shared" si="224"/>
        <v>9</v>
      </c>
      <c r="Y59" s="60">
        <f>COUNTIF(Y4:Y57,"&gt;0")</f>
        <v>1</v>
      </c>
      <c r="AA59" s="66">
        <f>AA57+AA46+AA35+AA24+AA13</f>
        <v>40</v>
      </c>
      <c r="AC59" s="47">
        <f>COUNTIF(AC4:AC12,"&gt;0")+COUNTIF(AC15:AC23,"&gt;0")+COUNTIF(AC26:AC34,"&gt;0")+COUNTIF(AC37:AC45,"&gt;0")+COUNTIF(AC48:AC56,"&gt;0")</f>
        <v>0</v>
      </c>
      <c r="AD59" s="47">
        <f t="shared" ref="AD59:AH59" si="225">COUNTIF(AD4:AD12,"&gt;0")+COUNTIF(AD15:AD23,"&gt;0")+COUNTIF(AD26:AD34,"&gt;0")+COUNTIF(AD37:AD45,"&gt;0")+COUNTIF(AD48:AD56,"&gt;0")</f>
        <v>7</v>
      </c>
      <c r="AE59" s="4">
        <f t="shared" si="225"/>
        <v>0</v>
      </c>
      <c r="AF59" s="47">
        <f t="shared" si="225"/>
        <v>5</v>
      </c>
      <c r="AG59" s="47">
        <f t="shared" si="225"/>
        <v>11</v>
      </c>
      <c r="AH59" s="47">
        <f t="shared" si="225"/>
        <v>10</v>
      </c>
      <c r="AI59" s="60">
        <f>COUNTIF(AI4:AI57,"&gt;0")</f>
        <v>0</v>
      </c>
      <c r="AK59" s="66">
        <f>AK57+AK46+AK35+AK24+AK13</f>
        <v>71</v>
      </c>
      <c r="AM59" s="47">
        <f>COUNTIF(AM4:AM12,"&gt;0")+COUNTIF(AM15:AM23,"&gt;0")+COUNTIF(AM26:AM34,"&gt;0")+COUNTIF(AM37:AM45,"&gt;0")+COUNTIF(AM48:AM56,"&gt;0")</f>
        <v>2</v>
      </c>
      <c r="AN59" s="47">
        <f t="shared" ref="AN59:AR59" si="226">COUNTIF(AN4:AN12,"&gt;0")+COUNTIF(AN15:AN23,"&gt;0")+COUNTIF(AN26:AN34,"&gt;0")+COUNTIF(AN37:AN45,"&gt;0")+COUNTIF(AN48:AN56,"&gt;0")</f>
        <v>13</v>
      </c>
      <c r="AO59" s="4">
        <f t="shared" si="226"/>
        <v>0</v>
      </c>
      <c r="AP59" s="47">
        <f t="shared" si="226"/>
        <v>5</v>
      </c>
      <c r="AQ59" s="47">
        <f t="shared" si="226"/>
        <v>6</v>
      </c>
      <c r="AR59" s="47">
        <f t="shared" si="226"/>
        <v>12</v>
      </c>
      <c r="AS59" s="60">
        <f>COUNTIF(AS4:AS57,"&gt;0")</f>
        <v>1</v>
      </c>
      <c r="AU59" s="66">
        <f>AU57+AU46+AU35+AU24+AU13</f>
        <v>71</v>
      </c>
      <c r="AW59" s="47">
        <f>COUNTIF(AW4:AW12,"&gt;0")+COUNTIF(AW15:AW23,"&gt;0")+COUNTIF(AW26:AW34,"&gt;0")+COUNTIF(AW37:AW45,"&gt;0")+COUNTIF(AW48:AW56,"&gt;0")</f>
        <v>2</v>
      </c>
      <c r="AX59" s="47">
        <f t="shared" ref="AX59:BB59" si="227">COUNTIF(AX4:AX12,"&gt;0")+COUNTIF(AX15:AX23,"&gt;0")+COUNTIF(AX26:AX34,"&gt;0")+COUNTIF(AX37:AX45,"&gt;0")+COUNTIF(AX48:AX56,"&gt;0")</f>
        <v>13</v>
      </c>
      <c r="AY59" s="4">
        <f t="shared" si="227"/>
        <v>0</v>
      </c>
      <c r="AZ59" s="47">
        <f t="shared" si="227"/>
        <v>5</v>
      </c>
      <c r="BA59" s="47">
        <f t="shared" si="227"/>
        <v>9</v>
      </c>
      <c r="BB59" s="47">
        <f t="shared" si="227"/>
        <v>9</v>
      </c>
      <c r="BC59" s="60">
        <f>COUNTIF(BC4:BC57,"&gt;0")</f>
        <v>1</v>
      </c>
      <c r="BE59" s="66">
        <f>BE57+BE46+BE35+BE24+BE13</f>
        <v>57</v>
      </c>
      <c r="BG59" s="47">
        <f>COUNTIF(BG4:BG12,"&gt;0")+COUNTIF(BG15:BG23,"&gt;0")+COUNTIF(BG26:BG34,"&gt;0")+COUNTIF(BG37:BG45,"&gt;0")+COUNTIF(BG48:BG56,"&gt;0")</f>
        <v>1</v>
      </c>
      <c r="BH59" s="47">
        <f t="shared" ref="BH59:BL59" si="228">COUNTIF(BH4:BH12,"&gt;0")+COUNTIF(BH15:BH23,"&gt;0")+COUNTIF(BH26:BH34,"&gt;0")+COUNTIF(BH37:BH45,"&gt;0")+COUNTIF(BH48:BH56,"&gt;0")</f>
        <v>13</v>
      </c>
      <c r="BI59" s="4">
        <f t="shared" si="228"/>
        <v>0</v>
      </c>
      <c r="BJ59" s="47">
        <f t="shared" si="228"/>
        <v>3</v>
      </c>
      <c r="BK59" s="47">
        <f t="shared" si="228"/>
        <v>10</v>
      </c>
      <c r="BL59" s="47">
        <f t="shared" si="228"/>
        <v>6</v>
      </c>
      <c r="BM59" s="60">
        <f>COUNTIF(BM4:BM57,"&gt;0")</f>
        <v>1</v>
      </c>
    </row>
    <row r="60" spans="2:65" x14ac:dyDescent="0.3">
      <c r="G60" s="65">
        <v>62</v>
      </c>
      <c r="I60" s="4">
        <f>I59*$I$2+J59*$J$2+L59*$L$2+M59*$M$2+N59*$N$2+O59*$O$2</f>
        <v>67</v>
      </c>
      <c r="Q60" s="65">
        <v>66</v>
      </c>
      <c r="S60" s="4">
        <f>S59*$I$2+T59*$J$2+V59*$L$2+W59*$M$2+X59*$N$2+Y59*$O$2</f>
        <v>91</v>
      </c>
      <c r="AA60" s="65">
        <v>40</v>
      </c>
      <c r="AC60" s="4">
        <f>AC59*$I$2+AD59*$J$2+AF59*$L$2+AG59*$M$2+AH59*$N$2+AI59*$O$2</f>
        <v>40</v>
      </c>
      <c r="AK60" s="65">
        <v>61</v>
      </c>
      <c r="AM60" s="4">
        <f>AM59*$I$2+AN59*$J$2+AP59*$L$2+AQ59*$M$2+AR59*$N$2+AS59*$O$2</f>
        <v>71</v>
      </c>
      <c r="AU60" s="65">
        <v>61</v>
      </c>
      <c r="AW60" s="4">
        <f>AW59*$I$2+AX59*$J$2+AZ59*$L$2+BA59*$M$2+BB59*$N$2+BC59*$O$2</f>
        <v>71</v>
      </c>
      <c r="BE60" s="65">
        <v>52</v>
      </c>
      <c r="BG60" s="4">
        <f>BG59*$I$2+BH59*$J$2+BJ59*$L$2+BK59*$M$2+BL59*$N$2+BM59*$O$2</f>
        <v>57</v>
      </c>
    </row>
  </sheetData>
  <mergeCells count="6">
    <mergeCell ref="BE1:BM1"/>
    <mergeCell ref="G1:O1"/>
    <mergeCell ref="Q1:Y1"/>
    <mergeCell ref="AA1:AI1"/>
    <mergeCell ref="AK1:AS1"/>
    <mergeCell ref="AU1:BC1"/>
  </mergeCells>
  <dataValidations disablePrompts="1" count="2">
    <dataValidation type="list" allowBlank="1" showInputMessage="1" showErrorMessage="1" sqref="E13" xr:uid="{6664EC1D-EF4A-470D-A4CD-9EE263F42ECD}">
      <formula1>"Clubs"</formula1>
    </dataValidation>
    <dataValidation type="list" allowBlank="1" showInputMessage="1" showErrorMessage="1" sqref="E4:E12 B4:B13 E15:E23 B15:B23 E26:E34 B26:B34 E37:E45 B37:B45 E48:E56 B48:B56" xr:uid="{026FF74B-A453-4AF0-85EE-1F44D62FDB81}">
      <formula1>Clubs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B954-C8C3-486A-808E-1969B8F64932}">
  <dimension ref="B1:B19"/>
  <sheetViews>
    <sheetView workbookViewId="0">
      <selection activeCell="E6" sqref="E6"/>
    </sheetView>
  </sheetViews>
  <sheetFormatPr baseColWidth="10" defaultRowHeight="14.4" x14ac:dyDescent="0.3"/>
  <sheetData>
    <row r="1" spans="2:2" ht="15" thickBot="1" x14ac:dyDescent="0.35"/>
    <row r="2" spans="2:2" x14ac:dyDescent="0.3">
      <c r="B2" s="1" t="s">
        <v>0</v>
      </c>
    </row>
    <row r="3" spans="2:2" x14ac:dyDescent="0.3">
      <c r="B3" s="2" t="s">
        <v>1</v>
      </c>
    </row>
    <row r="4" spans="2:2" x14ac:dyDescent="0.3">
      <c r="B4" s="2" t="s">
        <v>2</v>
      </c>
    </row>
    <row r="5" spans="2:2" x14ac:dyDescent="0.3">
      <c r="B5" s="2" t="s">
        <v>3</v>
      </c>
    </row>
    <row r="6" spans="2:2" x14ac:dyDescent="0.3">
      <c r="B6" s="2" t="s">
        <v>4</v>
      </c>
    </row>
    <row r="7" spans="2:2" x14ac:dyDescent="0.3">
      <c r="B7" s="2" t="s">
        <v>5</v>
      </c>
    </row>
    <row r="8" spans="2:2" x14ac:dyDescent="0.3">
      <c r="B8" s="2" t="s">
        <v>6</v>
      </c>
    </row>
    <row r="9" spans="2:2" x14ac:dyDescent="0.3">
      <c r="B9" s="2" t="s">
        <v>7</v>
      </c>
    </row>
    <row r="10" spans="2:2" x14ac:dyDescent="0.3">
      <c r="B10" s="2" t="s">
        <v>8</v>
      </c>
    </row>
    <row r="11" spans="2:2" x14ac:dyDescent="0.3">
      <c r="B11" s="2" t="s">
        <v>10</v>
      </c>
    </row>
    <row r="12" spans="2:2" x14ac:dyDescent="0.3">
      <c r="B12" s="2" t="s">
        <v>9</v>
      </c>
    </row>
    <row r="13" spans="2:2" x14ac:dyDescent="0.3">
      <c r="B13" s="2" t="s">
        <v>11</v>
      </c>
    </row>
    <row r="14" spans="2:2" x14ac:dyDescent="0.3">
      <c r="B14" s="2" t="s">
        <v>12</v>
      </c>
    </row>
    <row r="15" spans="2:2" x14ac:dyDescent="0.3">
      <c r="B15" s="2" t="s">
        <v>17</v>
      </c>
    </row>
    <row r="16" spans="2:2" x14ac:dyDescent="0.3">
      <c r="B16" s="2" t="s">
        <v>13</v>
      </c>
    </row>
    <row r="17" spans="2:2" x14ac:dyDescent="0.3">
      <c r="B17" s="2" t="s">
        <v>14</v>
      </c>
    </row>
    <row r="18" spans="2:2" x14ac:dyDescent="0.3">
      <c r="B18" s="2" t="s">
        <v>15</v>
      </c>
    </row>
    <row r="19" spans="2:2" ht="15" thickBot="1" x14ac:dyDescent="0.35">
      <c r="B1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Clubs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Dadi</dc:creator>
  <cp:lastModifiedBy>Doc Dadi</cp:lastModifiedBy>
  <dcterms:created xsi:type="dcterms:W3CDTF">2026-07-14T06:58:36Z</dcterms:created>
  <dcterms:modified xsi:type="dcterms:W3CDTF">2026-07-15T15:06:07Z</dcterms:modified>
</cp:coreProperties>
</file>